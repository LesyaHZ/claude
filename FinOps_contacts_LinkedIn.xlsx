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Топ-10 компаний" sheetId="1" state="visible" r:id="rId1"/>
    <sheet name="Как считаем баллы" sheetId="2" state="visible" r:id="rId2"/>
    <sheet name="Второй эшелон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7">
    <font>
      <name val="Calibri"/>
      <charset val="1"/>
      <family val="0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4E79"/>
      <sz val="14"/>
    </font>
    <font>
      <name val="Arial"/>
      <charset val="1"/>
      <family val="0"/>
      <i val="1"/>
      <color rgb="FF595959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color rgb="FF1F4E79"/>
      <sz val="9"/>
    </font>
    <font>
      <name val="Arial"/>
      <charset val="1"/>
      <family val="0"/>
      <color theme="1"/>
      <sz val="10"/>
    </font>
    <font>
      <name val="Arial"/>
      <charset val="1"/>
      <family val="0"/>
      <b val="1"/>
      <color theme="1"/>
      <sz val="10"/>
    </font>
    <font>
      <name val="Arial"/>
      <charset val="1"/>
      <family val="0"/>
      <color rgb="FF0563C1"/>
      <sz val="10"/>
      <u val="single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theme="1"/>
      <sz val="11"/>
    </font>
    <font>
      <name val="Arial"/>
      <charset val="1"/>
      <family val="0"/>
      <color rgb="FF0000FF"/>
      <sz val="10"/>
      <u val="single"/>
    </font>
    <font>
      <name val="Arial"/>
      <charset val="1"/>
      <family val="0"/>
      <color rgb="FF8C8C8C"/>
      <sz val="10"/>
    </font>
    <font>
      <name val="Arial"/>
      <charset val="1"/>
      <family val="0"/>
      <b val="1"/>
      <color theme="1"/>
      <sz val="9"/>
    </font>
    <font>
      <name val="Arial"/>
      <charset val="1"/>
      <family val="0"/>
      <b val="1"/>
      <color rgb="FF1F4E79"/>
      <sz val="10"/>
    </font>
  </fonts>
  <fills count="7">
    <fill>
      <patternFill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2E75B6"/>
        <bgColor rgb="FF0563C1"/>
      </patternFill>
    </fill>
    <fill>
      <patternFill patternType="solid">
        <fgColor rgb="FFBF8F00"/>
        <bgColor rgb="FF808000"/>
      </patternFill>
    </fill>
    <fill>
      <patternFill patternType="solid">
        <fgColor rgb="FFE8EEF5"/>
        <bgColor rgb="FFFFFFFF"/>
      </patternFill>
    </fill>
    <fill>
      <patternFill patternType="solid">
        <fgColor rgb="FFFFF2CC"/>
        <bgColor rgb="FFE8EEF5"/>
      </patternFill>
    </fill>
  </fills>
  <borders count="9">
    <border>
      <left/>
      <right/>
      <top/>
      <bottom/>
      <diagonal/>
    </border>
    <border>
      <left style="thin">
        <color rgb="FFB7C4D4"/>
      </left>
      <right style="thin">
        <color rgb="FFB7C4D4"/>
      </right>
      <top style="thin">
        <color rgb="FFB7C4D4"/>
      </top>
      <bottom style="thin">
        <color rgb="FFB7C4D4"/>
      </bottom>
      <diagonal/>
    </border>
    <border>
      <left/>
      <right/>
      <top style="thin">
        <color rgb="FFB7C4D4"/>
      </top>
      <bottom/>
      <diagonal/>
    </border>
    <border>
      <left/>
      <right style="thin">
        <color rgb="FFB7C4D4"/>
      </right>
      <top style="thin">
        <color rgb="FFB7C4D4"/>
      </top>
      <bottom/>
      <diagonal/>
    </border>
    <border>
      <left/>
      <right/>
      <top style="thin">
        <color rgb="FFB7C4D4"/>
      </top>
      <bottom style="thin">
        <color rgb="FFB7C4D4"/>
      </bottom>
      <diagonal/>
    </border>
    <border>
      <left/>
      <right style="thin">
        <color rgb="FFB7C4D4"/>
      </right>
      <top style="thin">
        <color rgb="FFB7C4D4"/>
      </top>
      <bottom style="thin">
        <color rgb="FFB7C4D4"/>
      </bottom>
      <diagonal/>
    </border>
    <border>
      <left style="thin">
        <color rgb="FFB7C4D4"/>
      </left>
      <right/>
      <top/>
      <bottom/>
      <diagonal/>
    </border>
    <border>
      <left style="thin">
        <color rgb="FFB7C4D4"/>
      </left>
      <right style="thin">
        <color rgb="FFB7C4D4"/>
      </right>
      <top/>
      <bottom/>
      <diagonal/>
    </border>
    <border>
      <left style="thin">
        <color rgb="FFB7C4D4"/>
      </left>
      <right style="thin">
        <color rgb="FFB7C4D4"/>
      </right>
      <top/>
      <bottom style="thin">
        <color rgb="FFB7C4D4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6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top"/>
    </xf>
    <xf numFmtId="0" fontId="9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10" fillId="0" borderId="1" applyAlignment="1" pivotButton="0" quotePrefix="0" xfId="0">
      <alignment horizontal="general" vertical="top" wrapText="1"/>
    </xf>
    <xf numFmtId="0" fontId="11" fillId="0" borderId="1" applyAlignment="1" pivotButton="0" quotePrefix="0" xfId="0">
      <alignment horizontal="center" vertical="top"/>
    </xf>
    <xf numFmtId="0" fontId="12" fillId="0" borderId="1" applyAlignment="1" pivotButton="0" quotePrefix="0" xfId="0">
      <alignment horizontal="center" vertical="top"/>
    </xf>
    <xf numFmtId="0" fontId="8" fillId="6" borderId="1" applyAlignment="1" pivotButton="0" quotePrefix="0" xfId="0">
      <alignment horizontal="general" vertical="top" wrapText="1"/>
    </xf>
    <xf numFmtId="0" fontId="13" fillId="6" borderId="1" applyAlignment="1" pivotButton="0" quotePrefix="0" xfId="0">
      <alignment horizontal="general" vertical="top" wrapText="1"/>
    </xf>
    <xf numFmtId="0" fontId="14" fillId="0" borderId="1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center" vertical="bottom"/>
    </xf>
    <xf numFmtId="0" fontId="16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6" fillId="3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0" fillId="0" borderId="8" pivotButton="0" quotePrefix="0" xfId="0"/>
    <xf numFmtId="0" fontId="8" fillId="0" borderId="1" applyAlignment="1" pivotButton="0" quotePrefix="0" xfId="0">
      <alignment horizontal="center" vertical="top"/>
    </xf>
    <xf numFmtId="0" fontId="9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10" fillId="0" borderId="1" applyAlignment="1" pivotButton="0" quotePrefix="0" xfId="0">
      <alignment horizontal="general" vertical="top" wrapText="1"/>
    </xf>
    <xf numFmtId="0" fontId="11" fillId="0" borderId="1" applyAlignment="1" pivotButton="0" quotePrefix="0" xfId="0">
      <alignment horizontal="center" vertical="top"/>
    </xf>
    <xf numFmtId="0" fontId="12" fillId="0" borderId="1" applyAlignment="1" pivotButton="0" quotePrefix="0" xfId="0">
      <alignment horizontal="center" vertical="top"/>
    </xf>
    <xf numFmtId="0" fontId="8" fillId="6" borderId="1" applyAlignment="1" pivotButton="0" quotePrefix="0" xfId="0">
      <alignment vertical="top" wrapText="1"/>
    </xf>
    <xf numFmtId="0" fontId="13" fillId="6" borderId="1" applyAlignment="1" pivotButton="0" quotePrefix="0" xfId="0">
      <alignment vertical="top" wrapText="1"/>
    </xf>
    <xf numFmtId="0" fontId="14" fillId="0" borderId="1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center" vertical="bottom"/>
    </xf>
    <xf numFmtId="0" fontId="16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top" wrapText="1"/>
    </xf>
    <xf numFmtId="0" fontId="9" fillId="0" borderId="1" applyAlignment="1" pivotButton="0" quotePrefix="0" xfId="0">
      <alignment vertical="top" wrapText="1"/>
    </xf>
    <xf numFmtId="0" fontId="10" fillId="0" borderId="1" applyAlignment="1" pivotButton="0" quotePrefix="0" xfId="0">
      <alignment vertical="top" wrapText="1"/>
    </xf>
    <xf numFmtId="0" fontId="8" fillId="0" borderId="1" applyAlignment="1" pivotButton="0" quotePrefix="0" xfId="0">
      <alignment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C4D4"/>
      <rgbColor rgb="FF808080"/>
      <rgbColor rgb="FF9999FF"/>
      <rgbColor rgb="FF993366"/>
      <rgbColor rgb="FFFFF2CC"/>
      <rgbColor rgb="FFE8EEF5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BF8F00"/>
      <rgbColor rgb="FFFF6600"/>
      <rgbColor rgb="FF595959"/>
      <rgbColor rgb="FF8C8C8C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www.linkedin.com/jobs/view/sr-infrastructure-cloud-spend-manager-at-mimecast-4461254617" TargetMode="External" Id="rId1" /><Relationship Type="http://schemas.openxmlformats.org/officeDocument/2006/relationships/hyperlink" Target="https://www.linkedin.com/in/david-call-5a704a1/" TargetMode="External" Id="rId2" /><Relationship Type="http://schemas.openxmlformats.org/officeDocument/2006/relationships/hyperlink" Target="https://www.linkedin.com/jobs/view/senior-director-technology-finops-at-bny-4451840428" TargetMode="External" Id="rId3" /><Relationship Type="http://schemas.openxmlformats.org/officeDocument/2006/relationships/hyperlink" Target="https://www.linkedin.com/jobs/view/senior-finops-analyst-at-healthedge-4459883691" TargetMode="External" Id="rId4" /><Relationship Type="http://schemas.openxmlformats.org/officeDocument/2006/relationships/hyperlink" Target="https://www.linkedin.com/jobs/view/finops-lead-at-ochsner-health-4466704032" TargetMode="External" Id="rId5" /><Relationship Type="http://schemas.openxmlformats.org/officeDocument/2006/relationships/hyperlink" Target="https://www.linkedin.com/jobs/view/cloud-financial-operations-specialist-at-stride-inc-4468279309" TargetMode="External" Id="rId6" /><Relationship Type="http://schemas.openxmlformats.org/officeDocument/2006/relationships/hyperlink" Target="https://www.linkedin.com/jobs/view/finops-specialist-at-stifel-financial-corp-4452988967" TargetMode="External" Id="rId7" /><Relationship Type="http://schemas.openxmlformats.org/officeDocument/2006/relationships/hyperlink" Target="https://www.linkedin.com/in/sandeep-p-581ab64/" TargetMode="External" Id="rId8" /><Relationship Type="http://schemas.openxmlformats.org/officeDocument/2006/relationships/hyperlink" Target="https://www.linkedin.com/jobs/view/cloud-finops-analyst-at-metlife-4467431419" TargetMode="External" Id="rId9" /><Relationship Type="http://schemas.openxmlformats.org/officeDocument/2006/relationships/hyperlink" Target="https://www.linkedin.com/jobs/view/assistant-vice-president-cloud-economics-finance-partner-at-moody-s-corporation-4465808387" TargetMode="External" Id="rId10" /><Relationship Type="http://schemas.openxmlformats.org/officeDocument/2006/relationships/hyperlink" Target="https://www.linkedin.com/jobs/view/cloud-finops-engineer-at-smurfit-westrock-4465839666" TargetMode="External" Id="rId11" /><Relationship Type="http://schemas.openxmlformats.org/officeDocument/2006/relationships/hyperlink" Target="https://www.linkedin.com/jobs/view/finops-specialist-at-point72-4468515174" TargetMode="External" Id="rId12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inkedin.com/jobs/view/finops-lead-cloud-remote-at-velera-4458304296" TargetMode="External" Id="rId1" /><Relationship Type="http://schemas.openxmlformats.org/officeDocument/2006/relationships/hyperlink" Target="https://www.linkedin.com/jobs/view/senior-manager-tbm-platform-cloud-finops-at-hub-international-4460939377" TargetMode="External" Id="rId2" /><Relationship Type="http://schemas.openxmlformats.org/officeDocument/2006/relationships/hyperlink" Target="https://www.linkedin.com/jobs/view/senior-finops-engineer-at-fanduel-4455888433" TargetMode="External" Id="rId3" /><Relationship Type="http://schemas.openxmlformats.org/officeDocument/2006/relationships/hyperlink" Target="https://www.linkedin.com/jobs/view/cloud-finops-analyst-at-vf-corporation-4469088198" TargetMode="External" Id="rId4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U1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C7" activeCellId="0" sqref="C7"/>
    </sheetView>
  </sheetViews>
  <sheetFormatPr baseColWidth="8" defaultColWidth="14.43359375" defaultRowHeight="15" zeroHeight="0" outlineLevelRow="0"/>
  <cols>
    <col width="4" customWidth="1" style="25" min="1" max="1"/>
    <col width="16" customWidth="1" style="25" min="2" max="2"/>
    <col width="22" customWidth="1" style="25" min="3" max="3"/>
    <col width="26" customWidth="1" style="25" min="4" max="4"/>
    <col width="19.71" customWidth="1" style="25" min="5" max="5"/>
    <col width="26" customWidth="1" style="25" min="6" max="6"/>
    <col width="8" customWidth="1" style="25" min="7" max="7"/>
    <col width="26" customWidth="1" style="25" min="8" max="8"/>
    <col width="8" customWidth="1" style="25" min="9" max="9"/>
    <col width="26" customWidth="1" style="25" min="10" max="10"/>
    <col width="8" customWidth="1" style="25" min="11" max="11"/>
    <col width="26" customWidth="1" style="25" min="12" max="12"/>
    <col width="8" customWidth="1" style="25" min="13" max="13"/>
    <col width="24" customWidth="1" style="25" min="14" max="14"/>
    <col width="8" customWidth="1" style="25" min="15" max="15"/>
    <col width="22" customWidth="1" style="25" min="16" max="16"/>
    <col width="10" customWidth="1" style="25" min="17" max="17"/>
    <col width="26" customWidth="1" style="25" min="18" max="18"/>
    <col width="24" customWidth="1" style="25" min="19" max="19"/>
    <col width="22" customWidth="1" style="25" min="20" max="20"/>
    <col width="28" customWidth="1" style="25" min="21" max="21"/>
    <col width="8.710000000000001" customWidth="1" style="25" min="22" max="25"/>
  </cols>
  <sheetData>
    <row r="1" ht="17.35" customHeight="1" s="26">
      <c r="A1" s="27" t="inlineStr">
        <is>
          <t>Компании для FinOps-аудита из вакансий LinkedIn</t>
        </is>
      </c>
    </row>
    <row r="2" ht="15" customHeight="1" s="26">
      <c r="A2" s="28" t="inlineStr">
        <is>
          <t>Вакансии опубликованы в США за последний месяц, прочитаны 25.09.2026</t>
        </is>
      </c>
    </row>
    <row r="3" ht="15" customHeight="1" s="26">
      <c r="A3" s="28" t="inlineStr">
        <is>
          <t>Почему LinkedIn: открытая вакансия FinOps показывает, что у компании есть проблема с облачными расходами и бюджет на её решение; по тексту вакансии видно облака, инструменты, задачи и кому писать.</t>
        </is>
      </c>
    </row>
    <row r="4" ht="19.5" customHeight="1" s="26">
      <c r="A4" s="29" t="inlineStr">
        <is>
          <t>Компания и вакансия</t>
        </is>
      </c>
      <c r="B4" s="30" t="n"/>
      <c r="C4" s="30" t="n"/>
      <c r="D4" s="30" t="n"/>
      <c r="E4" s="31" t="n"/>
      <c r="F4" s="32" t="inlineStr">
        <is>
          <t>Почему подходит (баллы — по правилам на листе «Как считаем баллы»)</t>
        </is>
      </c>
      <c r="G4" s="30" t="n"/>
      <c r="H4" s="30" t="n"/>
      <c r="I4" s="30" t="n"/>
      <c r="J4" s="30" t="n"/>
      <c r="K4" s="30" t="n"/>
      <c r="L4" s="30" t="n"/>
      <c r="M4" s="30" t="n"/>
      <c r="N4" s="30" t="n"/>
      <c r="O4" s="31" t="n"/>
      <c r="P4" s="29" t="inlineStr">
        <is>
          <t>Риск</t>
        </is>
      </c>
      <c r="Q4" s="29" t="inlineStr">
        <is>
          <t>Итог</t>
        </is>
      </c>
      <c r="R4" s="33" t="inlineStr">
        <is>
          <t>Для продаж — заполнить</t>
        </is>
      </c>
      <c r="S4" s="30" t="n"/>
      <c r="T4" s="30" t="n"/>
      <c r="U4" s="31" t="n"/>
    </row>
    <row r="5" ht="30" customHeight="1" s="26">
      <c r="A5" s="34" t="inlineStr">
        <is>
          <t>#</t>
        </is>
      </c>
      <c r="B5" s="34" t="inlineStr">
        <is>
          <t>Компания</t>
        </is>
      </c>
      <c r="C5" s="34" t="inlineStr">
        <is>
          <t>Отрасль</t>
        </is>
      </c>
      <c r="D5" s="34" t="inlineStr">
        <is>
          <t>Вакансия</t>
        </is>
      </c>
      <c r="E5" s="34" t="inlineStr">
        <is>
          <t>Опубликована</t>
        </is>
      </c>
      <c r="F5" s="34" t="inlineStr">
        <is>
          <t>1. Облака (мультиоблако)</t>
        </is>
      </c>
      <c r="G5" s="31" t="n"/>
      <c r="H5" s="34" t="inlineStr">
        <is>
          <t>2. Стадия FinOps</t>
        </is>
      </c>
      <c r="I5" s="31" t="n"/>
      <c r="J5" s="34" t="inlineStr">
        <is>
          <t>3. Распределение затрат</t>
        </is>
      </c>
      <c r="K5" s="31" t="n"/>
      <c r="L5" s="34" t="inlineStr">
        <is>
          <t>4. Связь с CMDB</t>
        </is>
      </c>
      <c r="M5" s="31" t="n"/>
      <c r="N5" s="34" t="inlineStr">
        <is>
          <t>5. Обязательства перед облаком</t>
        </is>
      </c>
      <c r="O5" s="31" t="n"/>
      <c r="P5" s="34" t="inlineStr">
        <is>
          <t>Текущий FinOps-инструмент</t>
        </is>
      </c>
      <c r="Q5" s="34" t="inlineStr">
        <is>
          <t>Итоговый балл (из 10)</t>
        </is>
      </c>
      <c r="R5" s="34" t="inlineStr">
        <is>
          <t>Кому подчиняется роль (из вакансии)</t>
        </is>
      </c>
      <c r="S5" s="35" t="inlineStr">
        <is>
          <t>Кому писать: имя, должность</t>
        </is>
      </c>
      <c r="T5" s="35" t="inlineStr">
        <is>
          <t>Кому писать: Ссылка на профиль</t>
        </is>
      </c>
      <c r="U5" s="35" t="inlineStr">
        <is>
          <t>Комментарий</t>
        </is>
      </c>
    </row>
    <row r="6" ht="25.5" customHeight="1" s="26">
      <c r="A6" s="36" t="n"/>
      <c r="B6" s="36" t="n"/>
      <c r="C6" s="36" t="n"/>
      <c r="D6" s="36" t="n"/>
      <c r="E6" s="36" t="n"/>
      <c r="F6" s="34" t="inlineStr">
        <is>
          <t>Что в вакансии</t>
        </is>
      </c>
      <c r="G6" s="34" t="inlineStr">
        <is>
          <t>Балл (макс. 3)</t>
        </is>
      </c>
      <c r="H6" s="34" t="inlineStr">
        <is>
          <t>Что в вакансии</t>
        </is>
      </c>
      <c r="I6" s="34" t="inlineStr">
        <is>
          <t>Балл (макс. 2)</t>
        </is>
      </c>
      <c r="J6" s="34" t="inlineStr">
        <is>
          <t>Что в вакансии</t>
        </is>
      </c>
      <c r="K6" s="34" t="inlineStr">
        <is>
          <t>Балл (макс. 2)</t>
        </is>
      </c>
      <c r="L6" s="34" t="inlineStr">
        <is>
          <t>Что в вакансии</t>
        </is>
      </c>
      <c r="M6" s="34" t="inlineStr">
        <is>
          <t>Балл (макс. 2)</t>
        </is>
      </c>
      <c r="N6" s="34" t="inlineStr">
        <is>
          <t>Что в вакансии</t>
        </is>
      </c>
      <c r="O6" s="34" t="inlineStr">
        <is>
          <t>Балл (макс. 1)</t>
        </is>
      </c>
      <c r="P6" s="36" t="n"/>
      <c r="Q6" s="36" t="n"/>
      <c r="R6" s="36" t="n"/>
      <c r="S6" s="36" t="n"/>
      <c r="T6" s="36" t="n"/>
      <c r="U6" s="36" t="n"/>
    </row>
    <row r="7" ht="46.25" customHeight="1" s="26">
      <c r="A7" s="37" t="n">
        <v>1</v>
      </c>
      <c r="B7" s="38" t="inlineStr">
        <is>
          <t>Mimecast</t>
        </is>
      </c>
      <c r="C7" s="39" t="inlineStr">
        <is>
          <t>Кибербезопасность (ПО); компания принадлежит фонду прямых инвестиций</t>
        </is>
      </c>
      <c r="D7" s="40" t="inlineStr">
        <is>
          <t>Sr. Infrastructure &amp; Cloud Spend Manager</t>
        </is>
      </c>
      <c r="E7" s="39" t="inlineStr">
        <is>
          <t>22.09.2026 (3 дня)</t>
        </is>
      </c>
      <c r="F7" s="39" t="inlineStr">
        <is>
          <t>AWS, Azure, GCP + дата-центры и colocation</t>
        </is>
      </c>
      <c r="G7" s="41" t="n">
        <v>3</v>
      </c>
      <c r="H7" s="39" t="inlineStr">
        <is>
          <t>Строят с нуля: базовая отчётность за первые 90 дней</t>
        </is>
      </c>
      <c r="I7" s="41" t="n">
        <v>2</v>
      </c>
      <c r="J7" s="39" t="inlineStr">
        <is>
          <t>Таксономия затрат по продуктам, командам и подразделениям</t>
        </is>
      </c>
      <c r="K7" s="41" t="n">
        <v>2</v>
      </c>
      <c r="L7" s="39" t="inlineStr">
        <is>
          <t>Облака и дата-центры в одной картине с привязкой к продуктам</t>
        </is>
      </c>
      <c r="M7" s="41" t="n">
        <v>2</v>
      </c>
      <c r="N7" s="39" t="inlineStr">
        <is>
          <t>Reserved Instances и Savings Plans</t>
        </is>
      </c>
      <c r="O7" s="41" t="n">
        <v>1</v>
      </c>
      <c r="P7" s="39" t="inlineStr">
        <is>
          <t>Не указан</t>
        </is>
      </c>
      <c r="Q7" s="42">
        <f>G7+I7+K7+M7+O7</f>
        <v/>
      </c>
      <c r="R7" s="39" t="inlineStr">
        <is>
          <t>VP, Product Finance &amp; Corporate Development</t>
        </is>
      </c>
      <c r="S7" s="43" t="inlineStr">
        <is>
          <t>Steve Tisa — VP, Infrastructure and Services
(в таблице уже есть David Call, VP Product Finance — это руководитель из вакансии)</t>
        </is>
      </c>
      <c r="T7" s="44" t="inlineStr">
        <is>
          <t>https://www.linkedin.com/in/david-call-5a704a1/
https://www.linkedin.com/in/stisa</t>
        </is>
      </c>
      <c r="U7" s="43" t="inlineStr">
        <is>
          <t>Стив — второй вход со стороны инфраструктуры. Исходная ссылка на David Call оставлена.</t>
        </is>
      </c>
    </row>
    <row r="8" ht="35.05" customHeight="1" s="26">
      <c r="A8" s="37" t="n">
        <v>2</v>
      </c>
      <c r="B8" s="38" t="inlineStr">
        <is>
          <t>BNY</t>
        </is>
      </c>
      <c r="C8" s="39" t="inlineStr">
        <is>
          <t>Банк, финансовые услуги</t>
        </is>
      </c>
      <c r="D8" s="40" t="inlineStr">
        <is>
          <t>Senior Director, Technology FinOps</t>
        </is>
      </c>
      <c r="E8" s="39" t="inlineStr">
        <is>
          <t>24.09.2026 (1 день)</t>
        </is>
      </c>
      <c r="F8" s="39" t="inlineStr">
        <is>
          <t>Несколько облаков и поставщиков, AI, платформы данных</t>
        </is>
      </c>
      <c r="G8" s="41" t="n">
        <v>3</v>
      </c>
      <c r="H8" s="39" t="inlineStr">
        <is>
          <t>Строят функцию с нуля, набирают команду</t>
        </is>
      </c>
      <c r="I8" s="41" t="n">
        <v>2</v>
      </c>
      <c r="J8" s="39" t="inlineStr">
        <is>
          <t>Теги, showback/chargeback, по подразделениям и продуктам</t>
        </is>
      </c>
      <c r="K8" s="41" t="n">
        <v>2</v>
      </c>
      <c r="L8" s="39" t="inlineStr">
        <is>
          <t>Распределение по приложениям, окружениям и владельцам</t>
        </is>
      </c>
      <c r="M8" s="41" t="n">
        <v>2</v>
      </c>
      <c r="N8" s="45" t="inlineStr">
        <is>
          <t>Не упомянуто</t>
        </is>
      </c>
      <c r="O8" s="41" t="n">
        <v>0</v>
      </c>
      <c r="P8" s="39" t="inlineStr">
        <is>
          <t>Не указан</t>
        </is>
      </c>
      <c r="Q8" s="42">
        <f>G8+I8+K8+M8+O8</f>
        <v/>
      </c>
      <c r="R8" s="39" t="inlineStr">
        <is>
          <t>Engineering Hub Lead и CFO, Engineering (двойное подчинение)</t>
        </is>
      </c>
      <c r="S8" s="43" t="inlineStr">
        <is>
          <t>Eli Grinvald — Head of Cloud, BNY Mellon | PershingX (владелец облака; проверено по профилю)
Katie Sealander Skavronski — SVP, FP&amp;A, Technology Finance (финансы технологий; проверено по профилю)
Sonia Kataria — COO, Technology, Strategy &amp; Execution, Office of the CIO (союзник на уровне CIO/CFO; проверено по профилю)</t>
        </is>
      </c>
      <c r="T8" s="43" t="inlineStr">
        <is>
          <t>https://www.linkedin.com/in/eligrinvald
https://www.linkedin.com/in/katie-sealander-skavronski
https://www.linkedin.com/in/sonia-kataria-ny</t>
        </is>
      </c>
      <c r="U8" s="43" t="inlineStr">
        <is>
          <t>Порядок: Eli, затем Katie, затем Sonia, не в один день. Никто из троих не подтверждён как руководитель вакансии. Nathan Whittall убран: его «FinOps» — клиентский биллинг BNY Pershing. Engineering Hub Lead в Seamless не найден. Для Eli в письме можно упомянуть Kubernetes (cluster-level, поды, контейнеры, рекомендации) — подтверждено коллегой, проверить объём пилота.</t>
        </is>
      </c>
    </row>
    <row r="9" ht="35.05" customHeight="1" s="26">
      <c r="A9" s="37" t="n">
        <v>3</v>
      </c>
      <c r="B9" s="38" t="inlineStr">
        <is>
          <t>HealthEdge</t>
        </is>
      </c>
      <c r="C9" s="39" t="inlineStr">
        <is>
          <t>ПО для медицинских страховщиков</t>
        </is>
      </c>
      <c r="D9" s="40" t="inlineStr">
        <is>
          <t>Senior FinOps Analyst</t>
        </is>
      </c>
      <c r="E9" s="39" t="inlineStr">
        <is>
          <t>18.09.2026 (1 нед.)</t>
        </is>
      </c>
      <c r="F9" s="39" t="inlineStr">
        <is>
          <t>AWS, Azure, GCP + собственные серверы; переезд в AWS</t>
        </is>
      </c>
      <c r="G9" s="41" t="n">
        <v>3</v>
      </c>
      <c r="H9" s="39" t="inlineStr">
        <is>
          <t>Новая функция («newly-formed function»)</t>
        </is>
      </c>
      <c r="I9" s="41" t="n">
        <v>2</v>
      </c>
      <c r="J9" s="39" t="inlineStr">
        <is>
          <t>По продуктам, функциям продукта, клиентам и командам</t>
        </is>
      </c>
      <c r="K9" s="41" t="n">
        <v>2</v>
      </c>
      <c r="L9" s="39" t="inlineStr">
        <is>
          <t>Инвентаризация при переезде из нескольких сред</t>
        </is>
      </c>
      <c r="M9" s="41" t="n">
        <v>2</v>
      </c>
      <c r="N9" s="45" t="inlineStr">
        <is>
          <t>Не упомянуто</t>
        </is>
      </c>
      <c r="O9" s="41" t="n">
        <v>0</v>
      </c>
      <c r="P9" s="39" t="inlineStr">
        <is>
          <t>Не указан</t>
        </is>
      </c>
      <c r="Q9" s="42">
        <f>G9+I9+K9+M9+O9</f>
        <v/>
      </c>
      <c r="R9" s="39" t="inlineStr">
        <is>
          <t>Не указано</t>
        </is>
      </c>
      <c r="S9" s="43" t="inlineStr">
        <is>
          <t>1) James Fallon — VP, Cloud Infrastructure &amp; Operations (владелец облака, портфель $40M+, запускал FinOps-программы; проверено по профилю)
2) Philip Anzalone — SVP Finance (бюджеты $100M+, моделирование рентабельности продуктов; проверено по профилю)
3) Matt McLaughlin — CFO с 2021 (проверено по профилю; эскалация, не первый контакт)</t>
        </is>
      </c>
      <c r="T9" s="43" t="inlineStr">
        <is>
          <t>https://www.linkedin.com/in/james-fallon-cissp-ccsk
https://www.linkedin.com/in/philip-anzalone-1b508a18
https://www.linkedin.com/in/matt-mclaughlin-36b7bb4</t>
        </is>
      </c>
      <c r="U9" s="43" t="inlineStr">
        <is>
          <t>Порядок: James, через 3–5 дней Philip, CFO Matt McLaughlin — только после ответа James/Philip или если оба молчат после двух попыток (повестка в его постах: маржа и рост затрат). James — вероятный руководитель вакансии (подчинение в вакансии не указано), Philip — финансовый партнёр. Расходы по продукту/команде/владельцу можно обещать (подтверждено); по клиентам и функциям продукта — нет.</t>
        </is>
      </c>
    </row>
    <row r="10" ht="35.05" customHeight="1" s="26">
      <c r="A10" s="37" t="n">
        <v>4</v>
      </c>
      <c r="B10" s="38" t="inlineStr">
        <is>
          <t>Ochsner Health</t>
        </is>
      </c>
      <c r="C10" s="39" t="inlineStr">
        <is>
          <t>Здравоохранение (сеть клиник)</t>
        </is>
      </c>
      <c r="D10" s="40" t="inlineStr">
        <is>
          <t>FinOps Lead</t>
        </is>
      </c>
      <c r="E10" s="39" t="inlineStr">
        <is>
          <t>18.09.2026 (1 нед.)</t>
        </is>
      </c>
      <c r="F10" s="39" t="inlineStr">
        <is>
          <t>Azure, AWS, Snowflake</t>
        </is>
      </c>
      <c r="G10" s="41" t="n">
        <v>3</v>
      </c>
      <c r="H10" s="39" t="inlineStr">
        <is>
          <t>Создают практику для всей компании (Lead + аналитик)</t>
        </is>
      </c>
      <c r="I10" s="41" t="n">
        <v>2</v>
      </c>
      <c r="J10" s="39" t="inlineStr">
        <is>
          <t>Подотчётность затрат владельцам приложений и сервисов</t>
        </is>
      </c>
      <c r="K10" s="41" t="n">
        <v>2</v>
      </c>
      <c r="L10" s="45" t="inlineStr">
        <is>
          <t>Не упомянуто</t>
        </is>
      </c>
      <c r="M10" s="41" t="n">
        <v>0</v>
      </c>
      <c r="N10" s="45" t="inlineStr">
        <is>
          <t>Не упомянуто</t>
        </is>
      </c>
      <c r="O10" s="41" t="n">
        <v>0</v>
      </c>
      <c r="P10" s="39" t="inlineStr">
        <is>
          <t>Не указан</t>
        </is>
      </c>
      <c r="Q10" s="42">
        <f>G10+I10+K10+M10+O10</f>
        <v/>
      </c>
      <c r="R10" s="39" t="inlineStr">
        <is>
          <t>Technology Business Manager</t>
        </is>
      </c>
      <c r="S10" s="43" t="inlineStr">
        <is>
          <t>1) Eric DiZinno — VP Finance, IS and Connected Health (финансовый владелец IT/digital; проверено по профилю)
2) Jack McLeod — AVP, Hybrid Cloud Services (стратегия гибридного облака, с 07.2025, ex-Accenture/Trace3; проверено по профилю)
3) Charlie Piazza — Director, Public Cloud &amp; Data Services (владелец облака; возможно, подчиняется Jack; проверено по профилю)
Не проверено: Amy Trainor — SVP &amp; CIO
НЕ НАЙДЕН: Technology Business Manager (руководитель вакансии) — в LinkedIn-поиске по Ochsner нет; смотреть Meet the hiring team в вакансии</t>
        </is>
      </c>
      <c r="T10" s="43" t="inlineStr">
        <is>
          <t>https://www.linkedin.com/in/eric-dizinno-983408147
https://www.linkedin.com/in/jackmcleod
https://www.linkedin.com/in/charlie-piazza-86b03127
https://www.linkedin.com/in/amy-trainor-rn-7858b61b</t>
        </is>
      </c>
      <c r="U10" s="43" t="inlineStr">
        <is>
          <t>Порядок: Eric, через 3–5 дней Jack, ещё через 3–5 дней Charlie. Просьбу «указать, кто отвечает» оставить только в письме Eric. Snowflake не упоминать. В письме Jack пилот ограничен AWS/Azure: покрытие частных платформ/дата-центров не подтверждено; Kubernetes упомянут условно.</t>
        </is>
      </c>
    </row>
    <row r="11" ht="35.05" customHeight="1" s="26">
      <c r="A11" s="37" t="n">
        <v>5</v>
      </c>
      <c r="B11" s="38" t="inlineStr">
        <is>
          <t>Stride, Inc.</t>
        </is>
      </c>
      <c r="C11" s="39" t="inlineStr">
        <is>
          <t>Онлайн-образование</t>
        </is>
      </c>
      <c r="D11" s="40" t="inlineStr">
        <is>
          <t>Cloud Financial Operations Specialist</t>
        </is>
      </c>
      <c r="E11" s="39" t="inlineStr">
        <is>
          <t>18.09.2026 (1 нед.)</t>
        </is>
      </c>
      <c r="F11" s="39" t="inlineStr">
        <is>
          <t>AWS, Azure</t>
        </is>
      </c>
      <c r="G11" s="41" t="n">
        <v>3</v>
      </c>
      <c r="H11" s="45" t="inlineStr">
        <is>
          <t>Не ясно: специалист внедряет практики</t>
        </is>
      </c>
      <c r="I11" s="41" t="n">
        <v>0</v>
      </c>
      <c r="J11" s="39" t="inlineStr">
        <is>
          <t>По отделам, командам и проектам</t>
        </is>
      </c>
      <c r="K11" s="41" t="n">
        <v>2</v>
      </c>
      <c r="L11" s="45" t="inlineStr">
        <is>
          <t>Не упомянуто</t>
        </is>
      </c>
      <c r="M11" s="41" t="n">
        <v>0</v>
      </c>
      <c r="N11" s="39" t="inlineStr">
        <is>
          <t>RI, Savings Plans и покупки через AWS Marketplace — вероятно, есть EDP</t>
        </is>
      </c>
      <c r="O11" s="41" t="n">
        <v>1</v>
      </c>
      <c r="P11" s="39" t="inlineStr">
        <is>
          <t>Не указан; нужно интегрировать инструменты биллинга</t>
        </is>
      </c>
      <c r="Q11" s="42">
        <f>G11+I11+K11+M11+O11</f>
        <v/>
      </c>
      <c r="R11" s="39" t="inlineStr">
        <is>
          <t>Не указано</t>
        </is>
      </c>
      <c r="S11" s="43" t="inlineStr">
        <is>
          <t>1) Sinduja Rajagopalan — FP&amp;A Manager, Corporate FP&amp;A (Technology, Product and Strategic Finance); 5 лет в Stride; проверено по профилю. Вход через финансы, не ЛПР.
Не проверено: Rich Maye — VP Information Technology (работает ли в Stride — неясно); Levon Hooks — CIO (в заголовке fractional/Open to Board); Donna Blackman — CFO (эскалация).
Отклонены после проверки: Jen H. (Director GRC — безопасность/комплаенс, не расходы); Praveen Vegesna (подрядчик, Open to work).
Руководитель вакансии не найден.</t>
        </is>
      </c>
      <c r="T11" s="43" t="inlineStr">
        <is>
          <t>Sinduja Rajagopalan (проверена): https://www.linkedin.com/in/sindujarajagopalan/
Не проверены, ссылки добавить из LinkedIn: Levon Hooks, Rich Maye, Donna Blackman</t>
        </is>
      </c>
      <c r="U11" s="43" t="inlineStr">
        <is>
          <t>Порядок: Sinduja (просим назвать, кто владеет облачными затратами) -&gt; Rich Maye/Levon Hooks после проверки профилей -&gt; CFO для эскалации. Низкий приоритет относительно других компаний.</t>
        </is>
      </c>
    </row>
    <row r="12" ht="35.05" customHeight="1" s="26">
      <c r="A12" s="37" t="n">
        <v>6</v>
      </c>
      <c r="B12" s="38" t="inlineStr">
        <is>
          <t>Stifel Financial</t>
        </is>
      </c>
      <c r="C12" s="39" t="inlineStr">
        <is>
          <t>Инвестиционный банк и брокер</t>
        </is>
      </c>
      <c r="D12" s="40" t="inlineStr">
        <is>
          <t>FinOps Specialist</t>
        </is>
      </c>
      <c r="E12" s="39" t="inlineStr">
        <is>
          <t>25.09.2026 (сегодня)</t>
        </is>
      </c>
      <c r="F12" s="39" t="inlineStr">
        <is>
          <t>AWS, Azure + SaaS</t>
        </is>
      </c>
      <c r="G12" s="41" t="n">
        <v>3</v>
      </c>
      <c r="H12" s="45" t="inlineStr">
        <is>
          <t>Команда уже есть, это расширение</t>
        </is>
      </c>
      <c r="I12" s="41" t="n">
        <v>0</v>
      </c>
      <c r="J12" s="39" t="inlineStr">
        <is>
          <t>Showback, контроль тегирования</t>
        </is>
      </c>
      <c r="K12" s="41" t="n">
        <v>2</v>
      </c>
      <c r="L12" s="45" t="inlineStr">
        <is>
          <t>Не упомянуто</t>
        </is>
      </c>
      <c r="M12" s="41" t="n">
        <v>0</v>
      </c>
      <c r="N12" s="39" t="inlineStr">
        <is>
          <t>Планирование резервированной мощности</t>
        </is>
      </c>
      <c r="O12" s="41" t="n">
        <v>1</v>
      </c>
      <c r="P12" s="39" t="inlineStr">
        <is>
          <t>Не указан</t>
        </is>
      </c>
      <c r="Q12" s="42">
        <f>G12+I12+K12+M12+O12</f>
        <v/>
      </c>
      <c r="R12" s="39" t="inlineStr">
        <is>
          <t>Старшие специалисты FinOps</t>
        </is>
      </c>
      <c r="S12" s="43" t="inlineStr">
        <is>
          <t>1) Sandeep P. — Product Management, Stifel Financial (с 06.2024; владеет стратегией и roadmap корпоративной AWS-инфраструктуры, ведёт FinOps по всему облаку, отношения с AWS/AMS, AI-инфраструктура SageMaker/Bedrock; проверено по профилю; это исходная ссылка из таблицы)
Не проверены: Mithun Ayachit — Director, Cloud Strategy and Engineering; Lauren Borik — FinOps Specialist (с 06.2026); вторая исходная ссылка (shanecredille)</t>
        </is>
      </c>
      <c r="T12" s="44" t="inlineStr">
        <is>
          <t>https://www.linkedin.com/in/sandeep-p-581ab64/
https://www.linkedin.com/in/mithunayachit
https://www.linkedin.com/in/lauren-borik-396702225
https://www.linkedin.com/in/shanecredille/</t>
        </is>
      </c>
      <c r="U12" s="43" t="inlineStr">
        <is>
          <t>Первый: Sandeep P. (практик FinOps и владелец AWS, вероятно, одна из «старших специалистов FinOps», кому подчиняется роль). Команда FinOps уже есть — это расширение; у Sandeep вероятно есть процессы и, возможно, инструмент: письмо с вопросом про атрибуцию по владельцам. Остальные проверять по профилям.</t>
        </is>
      </c>
    </row>
    <row r="13" ht="23.85" customHeight="1" s="26">
      <c r="A13" s="37" t="n">
        <v>7</v>
      </c>
      <c r="B13" s="38" t="inlineStr">
        <is>
          <t>MetLife</t>
        </is>
      </c>
      <c r="C13" s="39" t="inlineStr">
        <is>
          <t>Страхование</t>
        </is>
      </c>
      <c r="D13" s="40" t="inlineStr">
        <is>
          <t>Cloud FinOps Analyst</t>
        </is>
      </c>
      <c r="E13" s="39" t="inlineStr">
        <is>
          <t>18.09.2026 (1 нед.)</t>
        </is>
      </c>
      <c r="F13" s="45" t="inlineStr">
        <is>
          <t>Облака не названы</t>
        </is>
      </c>
      <c r="G13" s="41" t="n">
        <v>0</v>
      </c>
      <c r="H13" s="45" t="inlineStr">
        <is>
          <t>Cloud Business Office уже есть, развивают</t>
        </is>
      </c>
      <c r="I13" s="41" t="n">
        <v>0</v>
      </c>
      <c r="J13" s="39" t="inlineStr">
        <is>
          <t>Showback/chargeback</t>
        </is>
      </c>
      <c r="K13" s="41" t="n">
        <v>2</v>
      </c>
      <c r="L13" s="39" t="inlineStr">
        <is>
          <t>Затраты по приложениям и бизнес-сервисам</t>
        </is>
      </c>
      <c r="M13" s="41" t="n">
        <v>2</v>
      </c>
      <c r="N13" s="39" t="inlineStr">
        <is>
          <t>Оптимизация обязательств</t>
        </is>
      </c>
      <c r="O13" s="41" t="n">
        <v>1</v>
      </c>
      <c r="P13" s="39" t="inlineStr">
        <is>
          <t>Не указан</t>
        </is>
      </c>
      <c r="Q13" s="42">
        <f>G13+I13+K13+M13+O13</f>
        <v/>
      </c>
      <c r="R13" s="39" t="inlineStr">
        <is>
          <t>Cloud Business Office</t>
        </is>
      </c>
      <c r="S13" s="43" t="inlineStr">
        <is>
          <t>1) Leroy Straker — Director, Cloud Business Office, MetLife (с 02.2026, преемник Rob Fewkes; 11,5 лет в MetLife; в About: Cloud FinOps, TBM, FP&amp;A, FinOps Certified Practitioner; проверено по профилю). Руководитель вакансии и владелец функции.
2) Patricia Johnson-Clifton — Principal, Cloud Business Office (текущая по LinkedIn-выдаче; на фото рамка Open to work — проверить)
3) Heather R. (Ratkowiak) — Portfolio Manager, Cloud Business Office (текущая; низкий приоритет)
Rob Fewkes — для MetLife не подходит (ушёл в WTW 02.2026); ведём отдельно как цель в WTW, см. лист «Второй эшелон».</t>
        </is>
      </c>
      <c r="T13" s="43" t="inlineStr">
        <is>
          <t>https://www.linkedin.com/in/leroystraker/
https://www.linkedin.com/in/patricia-johnson-clifton-6488675
https://www.linkedin.com/in/heatherratkowiak
(Rob Fewkes, WTW, для справки) https://www.linkedin.com/in/robfewkes</t>
        </is>
      </c>
      <c r="U13" s="43" t="inlineStr">
        <is>
          <t>Порядок: Leroy, через 3–5 дней Patricia (проверить Open to work). Вопрос в письме — как сейчас делают привязку затрат к приложению/владельцу. Возможный инструмент TBM/FinOps не назван — узнать на звонке (конкурент = второй эшелон). Rob Fewkes в WTW — решено работать отдельно (лист «Второй эшелон»); в письме ему не упоминать MetLife.</t>
        </is>
      </c>
    </row>
    <row r="14" ht="23.85" customHeight="1" s="26">
      <c r="A14" s="37" t="n">
        <v>8</v>
      </c>
      <c r="B14" s="38" t="inlineStr">
        <is>
          <t>Moody's</t>
        </is>
      </c>
      <c r="C14" s="39" t="inlineStr">
        <is>
          <t>Кредитные рейтинги, аналитика рисков</t>
        </is>
      </c>
      <c r="D14" s="40" t="inlineStr">
        <is>
          <t>AVP, Cloud Economics Finance Partner</t>
        </is>
      </c>
      <c r="E14" s="39" t="inlineStr">
        <is>
          <t>11.09.2026 (2 нед.)</t>
        </is>
      </c>
      <c r="F14" s="39" t="inlineStr">
        <is>
          <t>AWS, Azure, GCP + Databricks, Snowflake и др.</t>
        </is>
      </c>
      <c r="G14" s="41" t="n">
        <v>3</v>
      </c>
      <c r="H14" s="45" t="inlineStr">
        <is>
          <t>Роль финансового партнёра, не создание практики</t>
        </is>
      </c>
      <c r="I14" s="41" t="n">
        <v>0</v>
      </c>
      <c r="J14" s="39" t="inlineStr">
        <is>
          <t>Методики распределения, контроль тегирования</t>
        </is>
      </c>
      <c r="K14" s="41" t="n">
        <v>2</v>
      </c>
      <c r="L14" s="45" t="inlineStr">
        <is>
          <t>Не упомянуто</t>
        </is>
      </c>
      <c r="M14" s="41" t="n">
        <v>0</v>
      </c>
      <c r="N14" s="45" t="inlineStr">
        <is>
          <t>Не упомянуто</t>
        </is>
      </c>
      <c r="O14" s="41" t="n">
        <v>0</v>
      </c>
      <c r="P14" s="39" t="inlineStr">
        <is>
          <t>Не указан</t>
        </is>
      </c>
      <c r="Q14" s="42">
        <f>G14+I14+K14+M14+O14</f>
        <v/>
      </c>
      <c r="R14" s="39" t="inlineStr">
        <is>
          <t>Не указано (финансовая функция)</t>
        </is>
      </c>
      <c r="S14" s="43" t="inlineStr">
        <is>
          <t>Bharat Rane — Director, Cloud FinOps, Platform Engineering
Sajjad Sainsi — AVP, Cloud FinOps</t>
        </is>
      </c>
      <c r="T14" s="43" t="inlineStr">
        <is>
          <t>https://www.linkedin.com/in/bharatrane
https://www.linkedin.com/in/sajjad-sainsi-589b9b158</t>
        </is>
      </c>
      <c r="U14" s="43" t="inlineStr">
        <is>
          <t>В Moody's уже есть FinOps-команда — роль финансового партнёра; Bharat — вероятный коллега/руководитель. Финансы: Danielle Montalto, VP Procurement &amp; Finance Ops https://www.linkedin.com/in/danielle-montalto</t>
        </is>
      </c>
    </row>
    <row r="15" ht="23.85" customHeight="1" s="26">
      <c r="A15" s="37" t="n">
        <v>9</v>
      </c>
      <c r="B15" s="38" t="inlineStr">
        <is>
          <t>Smurfit Westrock</t>
        </is>
      </c>
      <c r="C15" s="39" t="inlineStr">
        <is>
          <t>Упаковка, производство</t>
        </is>
      </c>
      <c r="D15" s="40" t="inlineStr">
        <is>
          <t>Cloud FinOps Engineer</t>
        </is>
      </c>
      <c r="E15" s="39" t="inlineStr">
        <is>
          <t>11.09.2026 (2 нед.)</t>
        </is>
      </c>
      <c r="F15" s="45" t="inlineStr">
        <is>
          <t>Только AWS</t>
        </is>
      </c>
      <c r="G15" s="41" t="n">
        <v>0</v>
      </c>
      <c r="H15" s="39" t="inlineStr">
        <is>
          <t>Первый специалист по FinOps в компании</t>
        </is>
      </c>
      <c r="I15" s="41" t="n">
        <v>2</v>
      </c>
      <c r="J15" s="39" t="inlineStr">
        <is>
          <t>Распределение начислений AWS по IT-подразделениям</t>
        </is>
      </c>
      <c r="K15" s="41" t="n">
        <v>2</v>
      </c>
      <c r="L15" s="45" t="inlineStr">
        <is>
          <t>Не упомянуто</t>
        </is>
      </c>
      <c r="M15" s="41" t="n">
        <v>0</v>
      </c>
      <c r="N15" s="45" t="inlineStr">
        <is>
          <t>Не упомянуто</t>
        </is>
      </c>
      <c r="O15" s="41" t="n">
        <v>0</v>
      </c>
      <c r="P15" s="39" t="inlineStr">
        <is>
          <t>Не указан; начисления распределяют вручную</t>
        </is>
      </c>
      <c r="Q15" s="42">
        <f>G15+I15+K15+M15+O15</f>
        <v/>
      </c>
      <c r="R15" s="39" t="inlineStr">
        <is>
          <t>Public Cloud Engineering — Cloud Center of Excellence</t>
        </is>
      </c>
      <c r="S15" s="43" t="inlineStr">
        <is>
          <t>Kenny Cannon — Director of Cloud CoE</t>
        </is>
      </c>
      <c r="T15" s="43" t="inlineStr">
        <is>
          <t>https://www.linkedin.com/in/kennycannon</t>
        </is>
      </c>
      <c r="U15" s="43" t="inlineStr">
        <is>
          <t>Совпадает с «Cloud Center of Excellence». В Seamless компания записана как Smurfit Kappa (тот же бренд).</t>
        </is>
      </c>
    </row>
    <row r="16" ht="35.05" customHeight="1" s="26">
      <c r="A16" s="37" t="n">
        <v>10</v>
      </c>
      <c r="B16" s="38" t="inlineStr">
        <is>
          <t>Point72</t>
        </is>
      </c>
      <c r="C16" s="39" t="inlineStr">
        <is>
          <t>Инвестиционный фонд</t>
        </is>
      </c>
      <c r="D16" s="40" t="inlineStr">
        <is>
          <t>FinOps Specialist</t>
        </is>
      </c>
      <c r="E16" s="39" t="inlineStr">
        <is>
          <t>22.09.2026 (3 дня)</t>
        </is>
      </c>
      <c r="F16" s="45" t="inlineStr">
        <is>
          <t>Облака не названы; + SaaS и AI</t>
        </is>
      </c>
      <c r="G16" s="41" t="n">
        <v>0</v>
      </c>
      <c r="H16" s="45" t="inlineStr">
        <is>
          <t>Не указано</t>
        </is>
      </c>
      <c r="I16" s="41" t="n">
        <v>0</v>
      </c>
      <c r="J16" s="39" t="inlineStr">
        <is>
          <t>Теги, showback/chargeback</t>
        </is>
      </c>
      <c r="K16" s="41" t="n">
        <v>2</v>
      </c>
      <c r="L16" s="45" t="inlineStr">
        <is>
          <t>Не упомянуто</t>
        </is>
      </c>
      <c r="M16" s="41" t="n">
        <v>0</v>
      </c>
      <c r="N16" s="39" t="inlineStr">
        <is>
          <t>Прогнозы для решений об обязательствах</t>
        </is>
      </c>
      <c r="O16" s="41" t="n">
        <v>1</v>
      </c>
      <c r="P16" s="39" t="inlineStr">
        <is>
          <t>Нужно внедрить инструменты — вероятно, выбирают</t>
        </is>
      </c>
      <c r="Q16" s="42">
        <f>G16+I16+K16+M16+O16</f>
        <v/>
      </c>
      <c r="R16" s="39" t="inlineStr">
        <is>
          <t>Технологическая команда</t>
        </is>
      </c>
      <c r="S16" s="43" t="inlineStr">
        <is>
          <t>Alistair McDougall — Head of Cloud Engineering
Ilya Gaysinskiy — CTO</t>
        </is>
      </c>
      <c r="T16" s="43" t="inlineStr">
        <is>
          <t>https://www.linkedin.com/in/amcd-ny
https://www.linkedin.com/in/igaysinskiy</t>
        </is>
      </c>
      <c r="U16" s="43" t="inlineStr">
        <is>
          <t>Подчинение в вакансии: «технологическая команда». FinOps-специалистов в Seamless не найдено.</t>
        </is>
      </c>
    </row>
    <row r="18" ht="15" customHeight="1" s="26">
      <c r="B18" s="46" t="inlineStr">
        <is>
          <t>Сколько компаний набрали балл по критерию</t>
        </is>
      </c>
      <c r="G18" s="47">
        <f>COUNTIF(G7:G16,"&gt;0")</f>
        <v/>
      </c>
      <c r="I18" s="47">
        <f>COUNTIF(I7:I16,"&gt;0")</f>
        <v/>
      </c>
      <c r="K18" s="47">
        <f>COUNTIF(K7:K16,"&gt;0")</f>
        <v/>
      </c>
      <c r="M18" s="47">
        <f>COUNTIF(M7:M16,"&gt;0")</f>
        <v/>
      </c>
      <c r="O18" s="47">
        <f>COUNTIF(O7:O16,"&gt;0")</f>
        <v/>
      </c>
    </row>
    <row r="21" ht="15.75" customHeight="1" s="26"/>
    <row r="22" ht="15.75" customHeight="1" s="26"/>
    <row r="23" ht="15.75" customHeight="1" s="26"/>
    <row r="24" ht="15.75" customHeight="1" s="26"/>
    <row r="25" ht="15.75" customHeight="1" s="26"/>
    <row r="26" ht="15.75" customHeight="1" s="26"/>
    <row r="27" ht="15.75" customHeight="1" s="26"/>
    <row r="28" ht="15.75" customHeight="1" s="26"/>
    <row r="29" ht="15.75" customHeight="1" s="26"/>
    <row r="30" ht="15.75" customHeight="1" s="26"/>
    <row r="31" ht="15.75" customHeight="1" s="26"/>
    <row r="32" ht="15.75" customHeight="1" s="26"/>
    <row r="33" ht="15.75" customHeight="1" s="26"/>
    <row r="34" ht="15.75" customHeight="1" s="26"/>
    <row r="35" ht="15.75" customHeight="1" s="26"/>
    <row r="36" ht="15.75" customHeight="1" s="26"/>
    <row r="37" ht="15.75" customHeight="1" s="26"/>
    <row r="38" ht="15.75" customHeight="1" s="26"/>
    <row r="39" ht="15.75" customHeight="1" s="26"/>
    <row r="40" ht="15.75" customHeight="1" s="26"/>
    <row r="41" ht="15.75" customHeight="1" s="26"/>
    <row r="42" ht="15.75" customHeight="1" s="26"/>
    <row r="43" ht="15.75" customHeight="1" s="26"/>
    <row r="44" ht="15.75" customHeight="1" s="26"/>
    <row r="45" ht="15.75" customHeight="1" s="26"/>
    <row r="46" ht="15.75" customHeight="1" s="26"/>
    <row r="47" ht="15.75" customHeight="1" s="26"/>
    <row r="48" ht="15.75" customHeight="1" s="26"/>
    <row r="49" ht="15.75" customHeight="1" s="26"/>
    <row r="50" ht="15.75" customHeight="1" s="26"/>
    <row r="51" ht="15.75" customHeight="1" s="26"/>
    <row r="52" ht="15.75" customHeight="1" s="26"/>
    <row r="53" ht="15.75" customHeight="1" s="26"/>
    <row r="54" ht="15.75" customHeight="1" s="26"/>
    <row r="55" ht="15.75" customHeight="1" s="26"/>
    <row r="56" ht="15.75" customHeight="1" s="26"/>
    <row r="57" ht="15.75" customHeight="1" s="26"/>
    <row r="58" ht="15.75" customHeight="1" s="26"/>
    <row r="59" ht="15.75" customHeight="1" s="26"/>
    <row r="60" ht="15.75" customHeight="1" s="26"/>
    <row r="61" ht="15.75" customHeight="1" s="26"/>
    <row r="62" ht="15.75" customHeight="1" s="26"/>
    <row r="63" ht="15.75" customHeight="1" s="26"/>
    <row r="64" ht="15.75" customHeight="1" s="26"/>
    <row r="65" ht="15.75" customHeight="1" s="26"/>
    <row r="66" ht="15.75" customHeight="1" s="26"/>
    <row r="67" ht="15.75" customHeight="1" s="26"/>
    <row r="68" ht="15.75" customHeight="1" s="26"/>
    <row r="69" ht="15.75" customHeight="1" s="26"/>
    <row r="70" ht="15.75" customHeight="1" s="26"/>
    <row r="71" ht="15.75" customHeight="1" s="26"/>
    <row r="72" ht="15.75" customHeight="1" s="26"/>
    <row r="73" ht="15.75" customHeight="1" s="26"/>
    <row r="74" ht="15.75" customHeight="1" s="26"/>
    <row r="75" ht="15.75" customHeight="1" s="26"/>
    <row r="76" ht="15.75" customHeight="1" s="26"/>
    <row r="77" ht="15.75" customHeight="1" s="26"/>
    <row r="78" ht="15.75" customHeight="1" s="26"/>
    <row r="79" ht="15.75" customHeight="1" s="26"/>
    <row r="80" ht="15.75" customHeight="1" s="26"/>
    <row r="81" ht="15.75" customHeight="1" s="26"/>
    <row r="82" ht="15.75" customHeight="1" s="26"/>
    <row r="83" ht="15.75" customHeight="1" s="26"/>
    <row r="84" ht="15.75" customHeight="1" s="26"/>
    <row r="85" ht="15.75" customHeight="1" s="26"/>
    <row r="86" ht="15.75" customHeight="1" s="26"/>
    <row r="87" ht="15.75" customHeight="1" s="26"/>
    <row r="88" ht="15.75" customHeight="1" s="26"/>
    <row r="89" ht="15.75" customHeight="1" s="26"/>
    <row r="90" ht="15.75" customHeight="1" s="26"/>
    <row r="91" ht="15.75" customHeight="1" s="26"/>
    <row r="92" ht="15.75" customHeight="1" s="26"/>
    <row r="93" ht="15.75" customHeight="1" s="26"/>
    <row r="94" ht="15.75" customHeight="1" s="26"/>
    <row r="95" ht="15.75" customHeight="1" s="26"/>
    <row r="96" ht="15.75" customHeight="1" s="26"/>
    <row r="97" ht="15.75" customHeight="1" s="26"/>
    <row r="98" ht="15.75" customHeight="1" s="26"/>
    <row r="99" ht="15.75" customHeight="1" s="26"/>
    <row r="100" ht="15.75" customHeight="1" s="26"/>
    <row r="101" ht="15.75" customHeight="1" s="26"/>
    <row r="102" ht="15.75" customHeight="1" s="26"/>
    <row r="103" ht="15.75" customHeight="1" s="26"/>
    <row r="104" ht="15.75" customHeight="1" s="26"/>
    <row r="105" ht="15.75" customHeight="1" s="26"/>
    <row r="106" ht="15.75" customHeight="1" s="26"/>
    <row r="107" ht="15.75" customHeight="1" s="26"/>
    <row r="108" ht="15.75" customHeight="1" s="26"/>
    <row r="109" ht="15.75" customHeight="1" s="26"/>
    <row r="110" ht="15.75" customHeight="1" s="26"/>
    <row r="111" ht="15.75" customHeight="1" s="26"/>
    <row r="112" ht="15.75" customHeight="1" s="26"/>
    <row r="113" ht="15.75" customHeight="1" s="26"/>
    <row r="114" ht="15.75" customHeight="1" s="26"/>
    <row r="115" ht="15.75" customHeight="1" s="26"/>
    <row r="116" ht="15.75" customHeight="1" s="26"/>
    <row r="117" ht="15.75" customHeight="1" s="26"/>
    <row r="118" ht="15.75" customHeight="1" s="26"/>
    <row r="119" ht="15.75" customHeight="1" s="26"/>
    <row r="120" ht="15.75" customHeight="1" s="26"/>
    <row r="121" ht="15.75" customHeight="1" s="26"/>
    <row r="122" ht="15.75" customHeight="1" s="26"/>
    <row r="123" ht="15.75" customHeight="1" s="26"/>
    <row r="124" ht="15.75" customHeight="1" s="26"/>
    <row r="125" ht="15.75" customHeight="1" s="26"/>
    <row r="126" ht="15.75" customHeight="1" s="26"/>
    <row r="127" ht="15.75" customHeight="1" s="26"/>
    <row r="128" ht="15.75" customHeight="1" s="26"/>
    <row r="129" ht="15.75" customHeight="1" s="26"/>
    <row r="130" ht="15.75" customHeight="1" s="26"/>
    <row r="131" ht="15.75" customHeight="1" s="26"/>
    <row r="132" ht="15.75" customHeight="1" s="26"/>
    <row r="133" ht="15.75" customHeight="1" s="26"/>
    <row r="134" ht="15.75" customHeight="1" s="26"/>
    <row r="135" ht="15.75" customHeight="1" s="26"/>
    <row r="136" ht="15.75" customHeight="1" s="26"/>
    <row r="137" ht="15.75" customHeight="1" s="26"/>
    <row r="138" ht="15.75" customHeight="1" s="26"/>
    <row r="139" ht="15.75" customHeight="1" s="26"/>
    <row r="140" ht="15.75" customHeight="1" s="26"/>
    <row r="141" ht="15.75" customHeight="1" s="26"/>
    <row r="142" ht="15.75" customHeight="1" s="26"/>
    <row r="143" ht="15.75" customHeight="1" s="26"/>
    <row r="144" ht="15.75" customHeight="1" s="26"/>
    <row r="145" ht="15.75" customHeight="1" s="26"/>
    <row r="146" ht="15.75" customHeight="1" s="26"/>
    <row r="147" ht="15.75" customHeight="1" s="26"/>
    <row r="148" ht="15.75" customHeight="1" s="26"/>
    <row r="149" ht="15.75" customHeight="1" s="26"/>
    <row r="150" ht="15.75" customHeight="1" s="26"/>
    <row r="151" ht="15.75" customHeight="1" s="26"/>
    <row r="152" ht="15.75" customHeight="1" s="26"/>
    <row r="153" ht="15.75" customHeight="1" s="26"/>
    <row r="154" ht="15.75" customHeight="1" s="26"/>
    <row r="155" ht="15.75" customHeight="1" s="26"/>
    <row r="156" ht="15.75" customHeight="1" s="26"/>
    <row r="157" ht="15.75" customHeight="1" s="26"/>
    <row r="158" ht="15.75" customHeight="1" s="26"/>
    <row r="159" ht="15.75" customHeight="1" s="26"/>
    <row r="160" ht="15.75" customHeight="1" s="26"/>
    <row r="161" ht="15.75" customHeight="1" s="26"/>
    <row r="162" ht="15.75" customHeight="1" s="26"/>
    <row r="163" ht="15.75" customHeight="1" s="26"/>
    <row r="164" ht="15.75" customHeight="1" s="26"/>
    <row r="165" ht="15.75" customHeight="1" s="26"/>
    <row r="166" ht="15.75" customHeight="1" s="26"/>
    <row r="167" ht="15.75" customHeight="1" s="26"/>
    <row r="168" ht="15.75" customHeight="1" s="26"/>
    <row r="169" ht="15.75" customHeight="1" s="26"/>
    <row r="170" ht="15.75" customHeight="1" s="26"/>
    <row r="171" ht="15.75" customHeight="1" s="26"/>
    <row r="172" ht="15.75" customHeight="1" s="26"/>
    <row r="173" ht="15.75" customHeight="1" s="26"/>
    <row r="174" ht="15.75" customHeight="1" s="26"/>
    <row r="175" ht="15.75" customHeight="1" s="26"/>
    <row r="176" ht="15.75" customHeight="1" s="26"/>
    <row r="177" ht="15.75" customHeight="1" s="26"/>
    <row r="178" ht="15.75" customHeight="1" s="26"/>
    <row r="179" ht="15.75" customHeight="1" s="26"/>
    <row r="180" ht="15.75" customHeight="1" s="26"/>
    <row r="181" ht="15.75" customHeight="1" s="26"/>
    <row r="182" ht="15.75" customHeight="1" s="26"/>
    <row r="183" ht="15.75" customHeight="1" s="26"/>
    <row r="184" ht="15.75" customHeight="1" s="26"/>
    <row r="185" ht="15.75" customHeight="1" s="26"/>
    <row r="186" ht="15.75" customHeight="1" s="26"/>
    <row r="187" ht="15.75" customHeight="1" s="26"/>
    <row r="188" ht="15.75" customHeight="1" s="26"/>
    <row r="189" ht="15.75" customHeight="1" s="26"/>
    <row r="190" ht="15.75" customHeight="1" s="26"/>
    <row r="191" ht="15.75" customHeight="1" s="26"/>
    <row r="192" ht="15.75" customHeight="1" s="26"/>
    <row r="193" ht="15.75" customHeight="1" s="26"/>
    <row r="194" ht="15.75" customHeight="1" s="26"/>
    <row r="195" ht="15.75" customHeight="1" s="26"/>
    <row r="196" ht="15.75" customHeight="1" s="26"/>
    <row r="197" ht="15.75" customHeight="1" s="26"/>
    <row r="198" ht="15.75" customHeight="1" s="26"/>
    <row r="199" ht="15.75" customHeight="1" s="26"/>
    <row r="200" ht="15.75" customHeight="1" s="26"/>
    <row r="201" ht="15.75" customHeight="1" s="26"/>
    <row r="202" ht="15.75" customHeight="1" s="26"/>
    <row r="203" ht="15.75" customHeight="1" s="26"/>
    <row r="204" ht="15.75" customHeight="1" s="26"/>
    <row r="205" ht="15.75" customHeight="1" s="26"/>
    <row r="206" ht="15.75" customHeight="1" s="26"/>
    <row r="207" ht="15.75" customHeight="1" s="26"/>
    <row r="208" ht="15.75" customHeight="1" s="26"/>
    <row r="209" ht="15.75" customHeight="1" s="26"/>
    <row r="210" ht="15.75" customHeight="1" s="26"/>
    <row r="211" ht="15.75" customHeight="1" s="26"/>
    <row r="212" ht="15.75" customHeight="1" s="26"/>
    <row r="213" ht="15.75" customHeight="1" s="26"/>
    <row r="214" ht="15.75" customHeight="1" s="26"/>
    <row r="215" ht="15.75" customHeight="1" s="26"/>
    <row r="216" ht="15.75" customHeight="1" s="26"/>
    <row r="217" ht="15.75" customHeight="1" s="26"/>
    <row r="218" ht="15.75" customHeight="1" s="26"/>
    <row r="219" ht="15.75" customHeight="1" s="26"/>
    <row r="220" ht="15.75" customHeight="1" s="26"/>
    <row r="221" ht="15.75" customHeight="1" s="26"/>
    <row r="222" ht="15.75" customHeight="1" s="26"/>
    <row r="223" ht="15.75" customHeight="1" s="26"/>
    <row r="224" ht="15.75" customHeight="1" s="26"/>
    <row r="225" ht="15.75" customHeight="1" s="26"/>
    <row r="226" ht="15.75" customHeight="1" s="26"/>
    <row r="227" ht="15.75" customHeight="1" s="26"/>
    <row r="228" ht="15.75" customHeight="1" s="26"/>
    <row r="229" ht="15.75" customHeight="1" s="26"/>
    <row r="230" ht="15.75" customHeight="1" s="26"/>
    <row r="231" ht="15.75" customHeight="1" s="26"/>
    <row r="232" ht="15.75" customHeight="1" s="26"/>
    <row r="233" ht="15.75" customHeight="1" s="26"/>
    <row r="234" ht="15.75" customHeight="1" s="26"/>
    <row r="235" ht="15.75" customHeight="1" s="26"/>
    <row r="236" ht="15.75" customHeight="1" s="26"/>
    <row r="237" ht="15.75" customHeight="1" s="26"/>
    <row r="238" ht="15.75" customHeight="1" s="26"/>
    <row r="239" ht="15.75" customHeight="1" s="26"/>
    <row r="240" ht="15.75" customHeight="1" s="26"/>
    <row r="241" ht="15.75" customHeight="1" s="26"/>
    <row r="242" ht="15.75" customHeight="1" s="26"/>
    <row r="243" ht="15.75" customHeight="1" s="26"/>
    <row r="244" ht="15.75" customHeight="1" s="26"/>
    <row r="245" ht="15.75" customHeight="1" s="26"/>
    <row r="246" ht="15.75" customHeight="1" s="26"/>
    <row r="247" ht="15.75" customHeight="1" s="26"/>
    <row r="248" ht="15.75" customHeight="1" s="26"/>
    <row r="249" ht="15.75" customHeight="1" s="26"/>
    <row r="250" ht="15.75" customHeight="1" s="26"/>
    <row r="251" ht="15.75" customHeight="1" s="26"/>
    <row r="252" ht="15.75" customHeight="1" s="26"/>
    <row r="253" ht="15.75" customHeight="1" s="26"/>
    <row r="254" ht="15.75" customHeight="1" s="26"/>
    <row r="255" ht="15.75" customHeight="1" s="26"/>
    <row r="256" ht="15.75" customHeight="1" s="26"/>
    <row r="257" ht="15.75" customHeight="1" s="26"/>
    <row r="258" ht="15.75" customHeight="1" s="26"/>
    <row r="259" ht="15.75" customHeight="1" s="26"/>
    <row r="260" ht="15.75" customHeight="1" s="26"/>
    <row r="261" ht="15.75" customHeight="1" s="26"/>
    <row r="262" ht="15.75" customHeight="1" s="26"/>
    <row r="263" ht="15.75" customHeight="1" s="26"/>
    <row r="264" ht="15.75" customHeight="1" s="26"/>
    <row r="265" ht="15.75" customHeight="1" s="26"/>
    <row r="266" ht="15.75" customHeight="1" s="26"/>
    <row r="267" ht="15.75" customHeight="1" s="26"/>
    <row r="268" ht="15.75" customHeight="1" s="26"/>
    <row r="269" ht="15.75" customHeight="1" s="26"/>
    <row r="270" ht="15.75" customHeight="1" s="26"/>
    <row r="271" ht="15.75" customHeight="1" s="26"/>
    <row r="272" ht="15.75" customHeight="1" s="26"/>
    <row r="273" ht="15.75" customHeight="1" s="26"/>
    <row r="274" ht="15.75" customHeight="1" s="26"/>
    <row r="275" ht="15.75" customHeight="1" s="26"/>
    <row r="276" ht="15.75" customHeight="1" s="26"/>
    <row r="277" ht="15.75" customHeight="1" s="26"/>
    <row r="278" ht="15.75" customHeight="1" s="26"/>
    <row r="279" ht="15.75" customHeight="1" s="26"/>
    <row r="280" ht="15.75" customHeight="1" s="26"/>
    <row r="281" ht="15.75" customHeight="1" s="26"/>
    <row r="282" ht="15.75" customHeight="1" s="26"/>
    <row r="283" ht="15.75" customHeight="1" s="26"/>
    <row r="284" ht="15.75" customHeight="1" s="26"/>
    <row r="285" ht="15.75" customHeight="1" s="26"/>
    <row r="286" ht="15.75" customHeight="1" s="26"/>
    <row r="287" ht="15.75" customHeight="1" s="26"/>
    <row r="288" ht="15.75" customHeight="1" s="26"/>
    <row r="289" ht="15.75" customHeight="1" s="26"/>
    <row r="290" ht="15.75" customHeight="1" s="26"/>
    <row r="291" ht="15.75" customHeight="1" s="26"/>
    <row r="292" ht="15.75" customHeight="1" s="26"/>
    <row r="293" ht="15.75" customHeight="1" s="26"/>
    <row r="294" ht="15.75" customHeight="1" s="26"/>
    <row r="295" ht="15.75" customHeight="1" s="26"/>
    <row r="296" ht="15.75" customHeight="1" s="26"/>
    <row r="297" ht="15.75" customHeight="1" s="26"/>
    <row r="298" ht="15.75" customHeight="1" s="26"/>
    <row r="299" ht="15.75" customHeight="1" s="26"/>
    <row r="300" ht="15.75" customHeight="1" s="26"/>
    <row r="301" ht="15.75" customHeight="1" s="26"/>
    <row r="302" ht="15.75" customHeight="1" s="26"/>
    <row r="303" ht="15.75" customHeight="1" s="26"/>
    <row r="304" ht="15.75" customHeight="1" s="26"/>
    <row r="305" ht="15.75" customHeight="1" s="26"/>
    <row r="306" ht="15.75" customHeight="1" s="26"/>
    <row r="307" ht="15.75" customHeight="1" s="26"/>
    <row r="308" ht="15.75" customHeight="1" s="26"/>
    <row r="309" ht="15.75" customHeight="1" s="26"/>
    <row r="310" ht="15.75" customHeight="1" s="26"/>
    <row r="311" ht="15.75" customHeight="1" s="26"/>
    <row r="312" ht="15.75" customHeight="1" s="26"/>
    <row r="313" ht="15.75" customHeight="1" s="26"/>
    <row r="314" ht="15.75" customHeight="1" s="26"/>
    <row r="315" ht="15.75" customHeight="1" s="26"/>
    <row r="316" ht="15.75" customHeight="1" s="26"/>
    <row r="317" ht="15.75" customHeight="1" s="26"/>
    <row r="318" ht="15.75" customHeight="1" s="26"/>
    <row r="319" ht="15.75" customHeight="1" s="26"/>
    <row r="320" ht="15.75" customHeight="1" s="26"/>
    <row r="321" ht="15.75" customHeight="1" s="26"/>
    <row r="322" ht="15.75" customHeight="1" s="26"/>
    <row r="323" ht="15.75" customHeight="1" s="26"/>
    <row r="324" ht="15.75" customHeight="1" s="26"/>
    <row r="325" ht="15.75" customHeight="1" s="26"/>
    <row r="326" ht="15.75" customHeight="1" s="26"/>
    <row r="327" ht="15.75" customHeight="1" s="26"/>
    <row r="328" ht="15.75" customHeight="1" s="26"/>
    <row r="329" ht="15.75" customHeight="1" s="26"/>
    <row r="330" ht="15.75" customHeight="1" s="26"/>
    <row r="331" ht="15.75" customHeight="1" s="26"/>
    <row r="332" ht="15.75" customHeight="1" s="26"/>
    <row r="333" ht="15.75" customHeight="1" s="26"/>
    <row r="334" ht="15.75" customHeight="1" s="26"/>
    <row r="335" ht="15.75" customHeight="1" s="26"/>
    <row r="336" ht="15.75" customHeight="1" s="26"/>
    <row r="337" ht="15.75" customHeight="1" s="26"/>
    <row r="338" ht="15.75" customHeight="1" s="26"/>
    <row r="339" ht="15.75" customHeight="1" s="26"/>
    <row r="340" ht="15.75" customHeight="1" s="26"/>
    <row r="341" ht="15.75" customHeight="1" s="26"/>
    <row r="342" ht="15.75" customHeight="1" s="26"/>
    <row r="343" ht="15.75" customHeight="1" s="26"/>
    <row r="344" ht="15.75" customHeight="1" s="26"/>
    <row r="345" ht="15.75" customHeight="1" s="26"/>
    <row r="346" ht="15.75" customHeight="1" s="26"/>
    <row r="347" ht="15.75" customHeight="1" s="26"/>
    <row r="348" ht="15.75" customHeight="1" s="26"/>
    <row r="349" ht="15.75" customHeight="1" s="26"/>
    <row r="350" ht="15.75" customHeight="1" s="26"/>
    <row r="351" ht="15.75" customHeight="1" s="26"/>
    <row r="352" ht="15.75" customHeight="1" s="26"/>
    <row r="353" ht="15.75" customHeight="1" s="26"/>
    <row r="354" ht="15.75" customHeight="1" s="26"/>
    <row r="355" ht="15.75" customHeight="1" s="26"/>
    <row r="356" ht="15.75" customHeight="1" s="26"/>
    <row r="357" ht="15.75" customHeight="1" s="26"/>
    <row r="358" ht="15.75" customHeight="1" s="26"/>
    <row r="359" ht="15.75" customHeight="1" s="26"/>
    <row r="360" ht="15.75" customHeight="1" s="26"/>
    <row r="361" ht="15.75" customHeight="1" s="26"/>
    <row r="362" ht="15.75" customHeight="1" s="26"/>
    <row r="363" ht="15.75" customHeight="1" s="26"/>
    <row r="364" ht="15.75" customHeight="1" s="26"/>
    <row r="365" ht="15.75" customHeight="1" s="26"/>
    <row r="366" ht="15.75" customHeight="1" s="26"/>
    <row r="367" ht="15.75" customHeight="1" s="26"/>
    <row r="368" ht="15.75" customHeight="1" s="26"/>
    <row r="369" ht="15.75" customHeight="1" s="26"/>
    <row r="370" ht="15.75" customHeight="1" s="26"/>
    <row r="371" ht="15.75" customHeight="1" s="26"/>
    <row r="372" ht="15.75" customHeight="1" s="26"/>
    <row r="373" ht="15.75" customHeight="1" s="26"/>
    <row r="374" ht="15.75" customHeight="1" s="26"/>
    <row r="375" ht="15.75" customHeight="1" s="26"/>
    <row r="376" ht="15.75" customHeight="1" s="26"/>
    <row r="377" ht="15.75" customHeight="1" s="26"/>
    <row r="378" ht="15.75" customHeight="1" s="26"/>
    <row r="379" ht="15.75" customHeight="1" s="26"/>
    <row r="380" ht="15.75" customHeight="1" s="26"/>
    <row r="381" ht="15.75" customHeight="1" s="26"/>
    <row r="382" ht="15.75" customHeight="1" s="26"/>
    <row r="383" ht="15.75" customHeight="1" s="26"/>
    <row r="384" ht="15.75" customHeight="1" s="26"/>
    <row r="385" ht="15.75" customHeight="1" s="26"/>
    <row r="386" ht="15.75" customHeight="1" s="26"/>
    <row r="387" ht="15.75" customHeight="1" s="26"/>
    <row r="388" ht="15.75" customHeight="1" s="26"/>
    <row r="389" ht="15.75" customHeight="1" s="26"/>
    <row r="390" ht="15.75" customHeight="1" s="26"/>
    <row r="391" ht="15.75" customHeight="1" s="26"/>
    <row r="392" ht="15.75" customHeight="1" s="26"/>
    <row r="393" ht="15.75" customHeight="1" s="26"/>
    <row r="394" ht="15.75" customHeight="1" s="26"/>
    <row r="395" ht="15.75" customHeight="1" s="26"/>
    <row r="396" ht="15.75" customHeight="1" s="26"/>
    <row r="397" ht="15.75" customHeight="1" s="26"/>
    <row r="398" ht="15.75" customHeight="1" s="26"/>
    <row r="399" ht="15.75" customHeight="1" s="26"/>
    <row r="400" ht="15.75" customHeight="1" s="26"/>
    <row r="401" ht="15.75" customHeight="1" s="26"/>
    <row r="402" ht="15.75" customHeight="1" s="26"/>
    <row r="403" ht="15.75" customHeight="1" s="26"/>
    <row r="404" ht="15.75" customHeight="1" s="26"/>
    <row r="405" ht="15.75" customHeight="1" s="26"/>
    <row r="406" ht="15.75" customHeight="1" s="26"/>
    <row r="407" ht="15.75" customHeight="1" s="26"/>
    <row r="408" ht="15.75" customHeight="1" s="26"/>
    <row r="409" ht="15.75" customHeight="1" s="26"/>
    <row r="410" ht="15.75" customHeight="1" s="26"/>
    <row r="411" ht="15.75" customHeight="1" s="26"/>
    <row r="412" ht="15.75" customHeight="1" s="26"/>
    <row r="413" ht="15.75" customHeight="1" s="26"/>
    <row r="414" ht="15.75" customHeight="1" s="26"/>
    <row r="415" ht="15.75" customHeight="1" s="26"/>
    <row r="416" ht="15.75" customHeight="1" s="26"/>
    <row r="417" ht="15.75" customHeight="1" s="26"/>
    <row r="418" ht="15.75" customHeight="1" s="26"/>
    <row r="419" ht="15.75" customHeight="1" s="26"/>
    <row r="420" ht="15.75" customHeight="1" s="26"/>
    <row r="421" ht="15.75" customHeight="1" s="26"/>
    <row r="422" ht="15.75" customHeight="1" s="26"/>
    <row r="423" ht="15.75" customHeight="1" s="26"/>
    <row r="424" ht="15.75" customHeight="1" s="26"/>
    <row r="425" ht="15.75" customHeight="1" s="26"/>
    <row r="426" ht="15.75" customHeight="1" s="26"/>
    <row r="427" ht="15.75" customHeight="1" s="26"/>
    <row r="428" ht="15.75" customHeight="1" s="26"/>
    <row r="429" ht="15.75" customHeight="1" s="26"/>
    <row r="430" ht="15.75" customHeight="1" s="26"/>
    <row r="431" ht="15.75" customHeight="1" s="26"/>
    <row r="432" ht="15.75" customHeight="1" s="26"/>
    <row r="433" ht="15.75" customHeight="1" s="26"/>
    <row r="434" ht="15.75" customHeight="1" s="26"/>
    <row r="435" ht="15.75" customHeight="1" s="26"/>
    <row r="436" ht="15.75" customHeight="1" s="26"/>
    <row r="437" ht="15.75" customHeight="1" s="26"/>
    <row r="438" ht="15.75" customHeight="1" s="26"/>
    <row r="439" ht="15.75" customHeight="1" s="26"/>
    <row r="440" ht="15.75" customHeight="1" s="26"/>
    <row r="441" ht="15.75" customHeight="1" s="26"/>
    <row r="442" ht="15.75" customHeight="1" s="26"/>
    <row r="443" ht="15.75" customHeight="1" s="26"/>
    <row r="444" ht="15.75" customHeight="1" s="26"/>
    <row r="445" ht="15.75" customHeight="1" s="26"/>
    <row r="446" ht="15.75" customHeight="1" s="26"/>
    <row r="447" ht="15.75" customHeight="1" s="26"/>
    <row r="448" ht="15.75" customHeight="1" s="26"/>
    <row r="449" ht="15.75" customHeight="1" s="26"/>
    <row r="450" ht="15.75" customHeight="1" s="26"/>
    <row r="451" ht="15.75" customHeight="1" s="26"/>
    <row r="452" ht="15.75" customHeight="1" s="26"/>
    <row r="453" ht="15.75" customHeight="1" s="26"/>
    <row r="454" ht="15.75" customHeight="1" s="26"/>
    <row r="455" ht="15.75" customHeight="1" s="26"/>
    <row r="456" ht="15.75" customHeight="1" s="26"/>
    <row r="457" ht="15.75" customHeight="1" s="26"/>
    <row r="458" ht="15.75" customHeight="1" s="26"/>
    <row r="459" ht="15.75" customHeight="1" s="26"/>
    <row r="460" ht="15.75" customHeight="1" s="26"/>
    <row r="461" ht="15.75" customHeight="1" s="26"/>
    <row r="462" ht="15.75" customHeight="1" s="26"/>
    <row r="463" ht="15.75" customHeight="1" s="26"/>
    <row r="464" ht="15.75" customHeight="1" s="26"/>
    <row r="465" ht="15.75" customHeight="1" s="26"/>
    <row r="466" ht="15.75" customHeight="1" s="26"/>
    <row r="467" ht="15.75" customHeight="1" s="26"/>
    <row r="468" ht="15.75" customHeight="1" s="26"/>
    <row r="469" ht="15.75" customHeight="1" s="26"/>
    <row r="470" ht="15.75" customHeight="1" s="26"/>
    <row r="471" ht="15.75" customHeight="1" s="26"/>
    <row r="472" ht="15.75" customHeight="1" s="26"/>
    <row r="473" ht="15.75" customHeight="1" s="26"/>
    <row r="474" ht="15.75" customHeight="1" s="26"/>
    <row r="475" ht="15.75" customHeight="1" s="26"/>
    <row r="476" ht="15.75" customHeight="1" s="26"/>
    <row r="477" ht="15.75" customHeight="1" s="26"/>
    <row r="478" ht="15.75" customHeight="1" s="26"/>
    <row r="479" ht="15.75" customHeight="1" s="26"/>
    <row r="480" ht="15.75" customHeight="1" s="26"/>
    <row r="481" ht="15.75" customHeight="1" s="26"/>
    <row r="482" ht="15.75" customHeight="1" s="26"/>
    <row r="483" ht="15.75" customHeight="1" s="26"/>
    <row r="484" ht="15.75" customHeight="1" s="26"/>
    <row r="485" ht="15.75" customHeight="1" s="26"/>
    <row r="486" ht="15.75" customHeight="1" s="26"/>
    <row r="487" ht="15.75" customHeight="1" s="26"/>
    <row r="488" ht="15.75" customHeight="1" s="26"/>
    <row r="489" ht="15.75" customHeight="1" s="26"/>
    <row r="490" ht="15.75" customHeight="1" s="26"/>
    <row r="491" ht="15.75" customHeight="1" s="26"/>
    <row r="492" ht="15.75" customHeight="1" s="26"/>
    <row r="493" ht="15.75" customHeight="1" s="26"/>
    <row r="494" ht="15.75" customHeight="1" s="26"/>
    <row r="495" ht="15.75" customHeight="1" s="26"/>
    <row r="496" ht="15.75" customHeight="1" s="26"/>
    <row r="497" ht="15.75" customHeight="1" s="26"/>
    <row r="498" ht="15.75" customHeight="1" s="26"/>
    <row r="499" ht="15.75" customHeight="1" s="26"/>
    <row r="500" ht="15.75" customHeight="1" s="26"/>
    <row r="501" ht="15.75" customHeight="1" s="26"/>
    <row r="502" ht="15.75" customHeight="1" s="26"/>
    <row r="503" ht="15.75" customHeight="1" s="26"/>
    <row r="504" ht="15.75" customHeight="1" s="26"/>
    <row r="505" ht="15.75" customHeight="1" s="26"/>
    <row r="506" ht="15.75" customHeight="1" s="26"/>
    <row r="507" ht="15.75" customHeight="1" s="26"/>
    <row r="508" ht="15.75" customHeight="1" s="26"/>
    <row r="509" ht="15.75" customHeight="1" s="26"/>
    <row r="510" ht="15.75" customHeight="1" s="26"/>
    <row r="511" ht="15.75" customHeight="1" s="26"/>
    <row r="512" ht="15.75" customHeight="1" s="26"/>
    <row r="513" ht="15.75" customHeight="1" s="26"/>
    <row r="514" ht="15.75" customHeight="1" s="26"/>
    <row r="515" ht="15.75" customHeight="1" s="26"/>
    <row r="516" ht="15.75" customHeight="1" s="26"/>
    <row r="517" ht="15.75" customHeight="1" s="26"/>
    <row r="518" ht="15.75" customHeight="1" s="26"/>
    <row r="519" ht="15.75" customHeight="1" s="26"/>
    <row r="520" ht="15.75" customHeight="1" s="26"/>
    <row r="521" ht="15.75" customHeight="1" s="26"/>
    <row r="522" ht="15.75" customHeight="1" s="26"/>
    <row r="523" ht="15.75" customHeight="1" s="26"/>
    <row r="524" ht="15.75" customHeight="1" s="26"/>
    <row r="525" ht="15.75" customHeight="1" s="26"/>
    <row r="526" ht="15.75" customHeight="1" s="26"/>
    <row r="527" ht="15.75" customHeight="1" s="26"/>
    <row r="528" ht="15.75" customHeight="1" s="26"/>
    <row r="529" ht="15.75" customHeight="1" s="26"/>
    <row r="530" ht="15.75" customHeight="1" s="26"/>
    <row r="531" ht="15.75" customHeight="1" s="26"/>
    <row r="532" ht="15.75" customHeight="1" s="26"/>
    <row r="533" ht="15.75" customHeight="1" s="26"/>
    <row r="534" ht="15.75" customHeight="1" s="26"/>
    <row r="535" ht="15.75" customHeight="1" s="26"/>
    <row r="536" ht="15.75" customHeight="1" s="26"/>
    <row r="537" ht="15.75" customHeight="1" s="26"/>
    <row r="538" ht="15.75" customHeight="1" s="26"/>
    <row r="539" ht="15.75" customHeight="1" s="26"/>
    <row r="540" ht="15.75" customHeight="1" s="26"/>
    <row r="541" ht="15.75" customHeight="1" s="26"/>
    <row r="542" ht="15.75" customHeight="1" s="26"/>
    <row r="543" ht="15.75" customHeight="1" s="26"/>
    <row r="544" ht="15.75" customHeight="1" s="26"/>
    <row r="545" ht="15.75" customHeight="1" s="26"/>
    <row r="546" ht="15.75" customHeight="1" s="26"/>
    <row r="547" ht="15.75" customHeight="1" s="26"/>
    <row r="548" ht="15.75" customHeight="1" s="26"/>
    <row r="549" ht="15.75" customHeight="1" s="26"/>
    <row r="550" ht="15.75" customHeight="1" s="26"/>
    <row r="551" ht="15.75" customHeight="1" s="26"/>
    <row r="552" ht="15.75" customHeight="1" s="26"/>
    <row r="553" ht="15.75" customHeight="1" s="26"/>
    <row r="554" ht="15.75" customHeight="1" s="26"/>
    <row r="555" ht="15.75" customHeight="1" s="26"/>
    <row r="556" ht="15.75" customHeight="1" s="26"/>
    <row r="557" ht="15.75" customHeight="1" s="26"/>
    <row r="558" ht="15.75" customHeight="1" s="26"/>
    <row r="559" ht="15.75" customHeight="1" s="26"/>
    <row r="560" ht="15.75" customHeight="1" s="26"/>
    <row r="561" ht="15.75" customHeight="1" s="26"/>
    <row r="562" ht="15.75" customHeight="1" s="26"/>
    <row r="563" ht="15.75" customHeight="1" s="26"/>
    <row r="564" ht="15.75" customHeight="1" s="26"/>
    <row r="565" ht="15.75" customHeight="1" s="26"/>
    <row r="566" ht="15.75" customHeight="1" s="26"/>
    <row r="567" ht="15.75" customHeight="1" s="26"/>
    <row r="568" ht="15.75" customHeight="1" s="26"/>
    <row r="569" ht="15.75" customHeight="1" s="26"/>
    <row r="570" ht="15.75" customHeight="1" s="26"/>
    <row r="571" ht="15.75" customHeight="1" s="26"/>
    <row r="572" ht="15.75" customHeight="1" s="26"/>
    <row r="573" ht="15.75" customHeight="1" s="26"/>
    <row r="574" ht="15.75" customHeight="1" s="26"/>
    <row r="575" ht="15.75" customHeight="1" s="26"/>
    <row r="576" ht="15.75" customHeight="1" s="26"/>
    <row r="577" ht="15.75" customHeight="1" s="26"/>
    <row r="578" ht="15.75" customHeight="1" s="26"/>
    <row r="579" ht="15.75" customHeight="1" s="26"/>
    <row r="580" ht="15.75" customHeight="1" s="26"/>
    <row r="581" ht="15.75" customHeight="1" s="26"/>
    <row r="582" ht="15.75" customHeight="1" s="26"/>
    <row r="583" ht="15.75" customHeight="1" s="26"/>
    <row r="584" ht="15.75" customHeight="1" s="26"/>
    <row r="585" ht="15.75" customHeight="1" s="26"/>
    <row r="586" ht="15.75" customHeight="1" s="26"/>
    <row r="587" ht="15.75" customHeight="1" s="26"/>
    <row r="588" ht="15.75" customHeight="1" s="26"/>
    <row r="589" ht="15.75" customHeight="1" s="26"/>
    <row r="590" ht="15.75" customHeight="1" s="26"/>
    <row r="591" ht="15.75" customHeight="1" s="26"/>
    <row r="592" ht="15.75" customHeight="1" s="26"/>
    <row r="593" ht="15.75" customHeight="1" s="26"/>
    <row r="594" ht="15.75" customHeight="1" s="26"/>
    <row r="595" ht="15.75" customHeight="1" s="26"/>
    <row r="596" ht="15.75" customHeight="1" s="26"/>
    <row r="597" ht="15.75" customHeight="1" s="26"/>
    <row r="598" ht="15.75" customHeight="1" s="26"/>
    <row r="599" ht="15.75" customHeight="1" s="26"/>
    <row r="600" ht="15.75" customHeight="1" s="26"/>
    <row r="601" ht="15.75" customHeight="1" s="26"/>
    <row r="602" ht="15.75" customHeight="1" s="26"/>
    <row r="603" ht="15.75" customHeight="1" s="26"/>
    <row r="604" ht="15.75" customHeight="1" s="26"/>
    <row r="605" ht="15.75" customHeight="1" s="26"/>
    <row r="606" ht="15.75" customHeight="1" s="26"/>
    <row r="607" ht="15.75" customHeight="1" s="26"/>
    <row r="608" ht="15.75" customHeight="1" s="26"/>
    <row r="609" ht="15.75" customHeight="1" s="26"/>
    <row r="610" ht="15.75" customHeight="1" s="26"/>
    <row r="611" ht="15.75" customHeight="1" s="26"/>
    <row r="612" ht="15.75" customHeight="1" s="26"/>
    <row r="613" ht="15.75" customHeight="1" s="26"/>
    <row r="614" ht="15.75" customHeight="1" s="26"/>
    <row r="615" ht="15.75" customHeight="1" s="26"/>
    <row r="616" ht="15.75" customHeight="1" s="26"/>
    <row r="617" ht="15.75" customHeight="1" s="26"/>
    <row r="618" ht="15.75" customHeight="1" s="26"/>
    <row r="619" ht="15.75" customHeight="1" s="26"/>
    <row r="620" ht="15.75" customHeight="1" s="26"/>
    <row r="621" ht="15.75" customHeight="1" s="26"/>
    <row r="622" ht="15.75" customHeight="1" s="26"/>
    <row r="623" ht="15.75" customHeight="1" s="26"/>
    <row r="624" ht="15.75" customHeight="1" s="26"/>
    <row r="625" ht="15.75" customHeight="1" s="26"/>
    <row r="626" ht="15.75" customHeight="1" s="26"/>
    <row r="627" ht="15.75" customHeight="1" s="26"/>
    <row r="628" ht="15.75" customHeight="1" s="26"/>
    <row r="629" ht="15.75" customHeight="1" s="26"/>
    <row r="630" ht="15.75" customHeight="1" s="26"/>
    <row r="631" ht="15.75" customHeight="1" s="26"/>
    <row r="632" ht="15.75" customHeight="1" s="26"/>
    <row r="633" ht="15.75" customHeight="1" s="26"/>
    <row r="634" ht="15.75" customHeight="1" s="26"/>
    <row r="635" ht="15.75" customHeight="1" s="26"/>
    <row r="636" ht="15.75" customHeight="1" s="26"/>
    <row r="637" ht="15.75" customHeight="1" s="26"/>
    <row r="638" ht="15.75" customHeight="1" s="26"/>
    <row r="639" ht="15.75" customHeight="1" s="26"/>
    <row r="640" ht="15.75" customHeight="1" s="26"/>
    <row r="641" ht="15.75" customHeight="1" s="26"/>
    <row r="642" ht="15.75" customHeight="1" s="26"/>
    <row r="643" ht="15.75" customHeight="1" s="26"/>
    <row r="644" ht="15.75" customHeight="1" s="26"/>
    <row r="645" ht="15.75" customHeight="1" s="26"/>
    <row r="646" ht="15.75" customHeight="1" s="26"/>
    <row r="647" ht="15.75" customHeight="1" s="26"/>
    <row r="648" ht="15.75" customHeight="1" s="26"/>
    <row r="649" ht="15.75" customHeight="1" s="26"/>
    <row r="650" ht="15.75" customHeight="1" s="26"/>
    <row r="651" ht="15.75" customHeight="1" s="26"/>
    <row r="652" ht="15.75" customHeight="1" s="26"/>
    <row r="653" ht="15.75" customHeight="1" s="26"/>
    <row r="654" ht="15.75" customHeight="1" s="26"/>
    <row r="655" ht="15.75" customHeight="1" s="26"/>
    <row r="656" ht="15.75" customHeight="1" s="26"/>
    <row r="657" ht="15.75" customHeight="1" s="26"/>
    <row r="658" ht="15.75" customHeight="1" s="26"/>
    <row r="659" ht="15.75" customHeight="1" s="26"/>
    <row r="660" ht="15.75" customHeight="1" s="26"/>
    <row r="661" ht="15.75" customHeight="1" s="26"/>
    <row r="662" ht="15.75" customHeight="1" s="26"/>
    <row r="663" ht="15.75" customHeight="1" s="26"/>
    <row r="664" ht="15.75" customHeight="1" s="26"/>
    <row r="665" ht="15.75" customHeight="1" s="26"/>
    <row r="666" ht="15.75" customHeight="1" s="26"/>
    <row r="667" ht="15.75" customHeight="1" s="26"/>
    <row r="668" ht="15.75" customHeight="1" s="26"/>
    <row r="669" ht="15.75" customHeight="1" s="26"/>
    <row r="670" ht="15.75" customHeight="1" s="26"/>
    <row r="671" ht="15.75" customHeight="1" s="26"/>
    <row r="672" ht="15.75" customHeight="1" s="26"/>
    <row r="673" ht="15.75" customHeight="1" s="26"/>
    <row r="674" ht="15.75" customHeight="1" s="26"/>
    <row r="675" ht="15.75" customHeight="1" s="26"/>
    <row r="676" ht="15.75" customHeight="1" s="26"/>
    <row r="677" ht="15.75" customHeight="1" s="26"/>
    <row r="678" ht="15.75" customHeight="1" s="26"/>
    <row r="679" ht="15.75" customHeight="1" s="26"/>
    <row r="680" ht="15.75" customHeight="1" s="26"/>
    <row r="681" ht="15.75" customHeight="1" s="26"/>
    <row r="682" ht="15.75" customHeight="1" s="26"/>
    <row r="683" ht="15.75" customHeight="1" s="26"/>
    <row r="684" ht="15.75" customHeight="1" s="26"/>
    <row r="685" ht="15.75" customHeight="1" s="26"/>
    <row r="686" ht="15.75" customHeight="1" s="26"/>
    <row r="687" ht="15.75" customHeight="1" s="26"/>
    <row r="688" ht="15.75" customHeight="1" s="26"/>
    <row r="689" ht="15.75" customHeight="1" s="26"/>
    <row r="690" ht="15.75" customHeight="1" s="26"/>
    <row r="691" ht="15.75" customHeight="1" s="26"/>
    <row r="692" ht="15.75" customHeight="1" s="26"/>
    <row r="693" ht="15.75" customHeight="1" s="26"/>
    <row r="694" ht="15.75" customHeight="1" s="26"/>
    <row r="695" ht="15.75" customHeight="1" s="26"/>
    <row r="696" ht="15.75" customHeight="1" s="26"/>
    <row r="697" ht="15.75" customHeight="1" s="26"/>
    <row r="698" ht="15.75" customHeight="1" s="26"/>
    <row r="699" ht="15.75" customHeight="1" s="26"/>
    <row r="700" ht="15.75" customHeight="1" s="26"/>
    <row r="701" ht="15.75" customHeight="1" s="26"/>
    <row r="702" ht="15.75" customHeight="1" s="26"/>
    <row r="703" ht="15.75" customHeight="1" s="26"/>
    <row r="704" ht="15.75" customHeight="1" s="26"/>
    <row r="705" ht="15.75" customHeight="1" s="26"/>
    <row r="706" ht="15.75" customHeight="1" s="26"/>
    <row r="707" ht="15.75" customHeight="1" s="26"/>
    <row r="708" ht="15.75" customHeight="1" s="26"/>
    <row r="709" ht="15.75" customHeight="1" s="26"/>
    <row r="710" ht="15.75" customHeight="1" s="26"/>
    <row r="711" ht="15.75" customHeight="1" s="26"/>
    <row r="712" ht="15.75" customHeight="1" s="26"/>
    <row r="713" ht="15.75" customHeight="1" s="26"/>
    <row r="714" ht="15.75" customHeight="1" s="26"/>
    <row r="715" ht="15.75" customHeight="1" s="26"/>
    <row r="716" ht="15.75" customHeight="1" s="26"/>
    <row r="717" ht="15.75" customHeight="1" s="26"/>
    <row r="718" ht="15.75" customHeight="1" s="26"/>
    <row r="719" ht="15.75" customHeight="1" s="26"/>
    <row r="720" ht="15.75" customHeight="1" s="26"/>
    <row r="721" ht="15.75" customHeight="1" s="26"/>
    <row r="722" ht="15.75" customHeight="1" s="26"/>
    <row r="723" ht="15.75" customHeight="1" s="26"/>
    <row r="724" ht="15.75" customHeight="1" s="26"/>
    <row r="725" ht="15.75" customHeight="1" s="26"/>
    <row r="726" ht="15.75" customHeight="1" s="26"/>
    <row r="727" ht="15.75" customHeight="1" s="26"/>
    <row r="728" ht="15.75" customHeight="1" s="26"/>
    <row r="729" ht="15.75" customHeight="1" s="26"/>
    <row r="730" ht="15.75" customHeight="1" s="26"/>
    <row r="731" ht="15.75" customHeight="1" s="26"/>
    <row r="732" ht="15.75" customHeight="1" s="26"/>
    <row r="733" ht="15.75" customHeight="1" s="26"/>
    <row r="734" ht="15.75" customHeight="1" s="26"/>
    <row r="735" ht="15.75" customHeight="1" s="26"/>
    <row r="736" ht="15.75" customHeight="1" s="26"/>
    <row r="737" ht="15.75" customHeight="1" s="26"/>
    <row r="738" ht="15.75" customHeight="1" s="26"/>
    <row r="739" ht="15.75" customHeight="1" s="26"/>
    <row r="740" ht="15.75" customHeight="1" s="26"/>
    <row r="741" ht="15.75" customHeight="1" s="26"/>
    <row r="742" ht="15.75" customHeight="1" s="26"/>
    <row r="743" ht="15.75" customHeight="1" s="26"/>
    <row r="744" ht="15.75" customHeight="1" s="26"/>
    <row r="745" ht="15.75" customHeight="1" s="26"/>
    <row r="746" ht="15.75" customHeight="1" s="26"/>
    <row r="747" ht="15.75" customHeight="1" s="26"/>
    <row r="748" ht="15.75" customHeight="1" s="26"/>
    <row r="749" ht="15.75" customHeight="1" s="26"/>
    <row r="750" ht="15.75" customHeight="1" s="26"/>
    <row r="751" ht="15.75" customHeight="1" s="26"/>
    <row r="752" ht="15.75" customHeight="1" s="26"/>
    <row r="753" ht="15.75" customHeight="1" s="26"/>
    <row r="754" ht="15.75" customHeight="1" s="26"/>
    <row r="755" ht="15.75" customHeight="1" s="26"/>
    <row r="756" ht="15.75" customHeight="1" s="26"/>
    <row r="757" ht="15.75" customHeight="1" s="26"/>
    <row r="758" ht="15.75" customHeight="1" s="26"/>
    <row r="759" ht="15.75" customHeight="1" s="26"/>
    <row r="760" ht="15.75" customHeight="1" s="26"/>
    <row r="761" ht="15.75" customHeight="1" s="26"/>
    <row r="762" ht="15.75" customHeight="1" s="26"/>
    <row r="763" ht="15.75" customHeight="1" s="26"/>
    <row r="764" ht="15.75" customHeight="1" s="26"/>
    <row r="765" ht="15.75" customHeight="1" s="26"/>
    <row r="766" ht="15.75" customHeight="1" s="26"/>
    <row r="767" ht="15.75" customHeight="1" s="26"/>
    <row r="768" ht="15.75" customHeight="1" s="26"/>
    <row r="769" ht="15.75" customHeight="1" s="26"/>
    <row r="770" ht="15.75" customHeight="1" s="26"/>
    <row r="771" ht="15.75" customHeight="1" s="26"/>
    <row r="772" ht="15.75" customHeight="1" s="26"/>
    <row r="773" ht="15.75" customHeight="1" s="26"/>
    <row r="774" ht="15.75" customHeight="1" s="26"/>
    <row r="775" ht="15.75" customHeight="1" s="26"/>
    <row r="776" ht="15.75" customHeight="1" s="26"/>
    <row r="777" ht="15.75" customHeight="1" s="26"/>
    <row r="778" ht="15.75" customHeight="1" s="26"/>
    <row r="779" ht="15.75" customHeight="1" s="26"/>
    <row r="780" ht="15.75" customHeight="1" s="26"/>
    <row r="781" ht="15.75" customHeight="1" s="26"/>
    <row r="782" ht="15.75" customHeight="1" s="26"/>
    <row r="783" ht="15.75" customHeight="1" s="26"/>
    <row r="784" ht="15.75" customHeight="1" s="26"/>
    <row r="785" ht="15.75" customHeight="1" s="26"/>
    <row r="786" ht="15.75" customHeight="1" s="26"/>
    <row r="787" ht="15.75" customHeight="1" s="26"/>
    <row r="788" ht="15.75" customHeight="1" s="26"/>
    <row r="789" ht="15.75" customHeight="1" s="26"/>
    <row r="790" ht="15.75" customHeight="1" s="26"/>
    <row r="791" ht="15.75" customHeight="1" s="26"/>
    <row r="792" ht="15.75" customHeight="1" s="26"/>
    <row r="793" ht="15.75" customHeight="1" s="26"/>
    <row r="794" ht="15.75" customHeight="1" s="26"/>
    <row r="795" ht="15.75" customHeight="1" s="26"/>
    <row r="796" ht="15.75" customHeight="1" s="26"/>
    <row r="797" ht="15.75" customHeight="1" s="26"/>
    <row r="798" ht="15.75" customHeight="1" s="26"/>
    <row r="799" ht="15.75" customHeight="1" s="26"/>
    <row r="800" ht="15.75" customHeight="1" s="26"/>
    <row r="801" ht="15.75" customHeight="1" s="26"/>
    <row r="802" ht="15.75" customHeight="1" s="26"/>
    <row r="803" ht="15.75" customHeight="1" s="26"/>
    <row r="804" ht="15.75" customHeight="1" s="26"/>
    <row r="805" ht="15.75" customHeight="1" s="26"/>
    <row r="806" ht="15.75" customHeight="1" s="26"/>
    <row r="807" ht="15.75" customHeight="1" s="26"/>
    <row r="808" ht="15.75" customHeight="1" s="26"/>
    <row r="809" ht="15.75" customHeight="1" s="26"/>
    <row r="810" ht="15.75" customHeight="1" s="26"/>
    <row r="811" ht="15.75" customHeight="1" s="26"/>
    <row r="812" ht="15.75" customHeight="1" s="26"/>
    <row r="813" ht="15.75" customHeight="1" s="26"/>
    <row r="814" ht="15.75" customHeight="1" s="26"/>
    <row r="815" ht="15.75" customHeight="1" s="26"/>
    <row r="816" ht="15.75" customHeight="1" s="26"/>
    <row r="817" ht="15.75" customHeight="1" s="26"/>
    <row r="818" ht="15.75" customHeight="1" s="26"/>
    <row r="819" ht="15.75" customHeight="1" s="26"/>
    <row r="820" ht="15.75" customHeight="1" s="26"/>
    <row r="821" ht="15.75" customHeight="1" s="26"/>
    <row r="822" ht="15.75" customHeight="1" s="26"/>
    <row r="823" ht="15.75" customHeight="1" s="26"/>
    <row r="824" ht="15.75" customHeight="1" s="26"/>
    <row r="825" ht="15.75" customHeight="1" s="26"/>
    <row r="826" ht="15.75" customHeight="1" s="26"/>
    <row r="827" ht="15.75" customHeight="1" s="26"/>
    <row r="828" ht="15.75" customHeight="1" s="26"/>
    <row r="829" ht="15.75" customHeight="1" s="26"/>
    <row r="830" ht="15.75" customHeight="1" s="26"/>
    <row r="831" ht="15.75" customHeight="1" s="26"/>
    <row r="832" ht="15.75" customHeight="1" s="26"/>
    <row r="833" ht="15.75" customHeight="1" s="26"/>
    <row r="834" ht="15.75" customHeight="1" s="26"/>
    <row r="835" ht="15.75" customHeight="1" s="26"/>
    <row r="836" ht="15.75" customHeight="1" s="26"/>
    <row r="837" ht="15.75" customHeight="1" s="26"/>
    <row r="838" ht="15.75" customHeight="1" s="26"/>
    <row r="839" ht="15.75" customHeight="1" s="26"/>
    <row r="840" ht="15.75" customHeight="1" s="26"/>
    <row r="841" ht="15.75" customHeight="1" s="26"/>
    <row r="842" ht="15.75" customHeight="1" s="26"/>
    <row r="843" ht="15.75" customHeight="1" s="26"/>
    <row r="844" ht="15.75" customHeight="1" s="26"/>
    <row r="845" ht="15.75" customHeight="1" s="26"/>
    <row r="846" ht="15.75" customHeight="1" s="26"/>
    <row r="847" ht="15.75" customHeight="1" s="26"/>
    <row r="848" ht="15.75" customHeight="1" s="26"/>
    <row r="849" ht="15.75" customHeight="1" s="26"/>
    <row r="850" ht="15.75" customHeight="1" s="26"/>
    <row r="851" ht="15.75" customHeight="1" s="26"/>
    <row r="852" ht="15.75" customHeight="1" s="26"/>
    <row r="853" ht="15.75" customHeight="1" s="26"/>
    <row r="854" ht="15.75" customHeight="1" s="26"/>
    <row r="855" ht="15.75" customHeight="1" s="26"/>
    <row r="856" ht="15.75" customHeight="1" s="26"/>
    <row r="857" ht="15.75" customHeight="1" s="26"/>
    <row r="858" ht="15.75" customHeight="1" s="26"/>
    <row r="859" ht="15.75" customHeight="1" s="26"/>
    <row r="860" ht="15.75" customHeight="1" s="26"/>
    <row r="861" ht="15.75" customHeight="1" s="26"/>
    <row r="862" ht="15.75" customHeight="1" s="26"/>
    <row r="863" ht="15.75" customHeight="1" s="26"/>
    <row r="864" ht="15.75" customHeight="1" s="26"/>
    <row r="865" ht="15.75" customHeight="1" s="26"/>
    <row r="866" ht="15.75" customHeight="1" s="26"/>
    <row r="867" ht="15.75" customHeight="1" s="26"/>
    <row r="868" ht="15.75" customHeight="1" s="26"/>
    <row r="869" ht="15.75" customHeight="1" s="26"/>
    <row r="870" ht="15.75" customHeight="1" s="26"/>
    <row r="871" ht="15.75" customHeight="1" s="26"/>
    <row r="872" ht="15.75" customHeight="1" s="26"/>
    <row r="873" ht="15.75" customHeight="1" s="26"/>
    <row r="874" ht="15.75" customHeight="1" s="26"/>
    <row r="875" ht="15.75" customHeight="1" s="26"/>
    <row r="876" ht="15.75" customHeight="1" s="26"/>
    <row r="877" ht="15.75" customHeight="1" s="26"/>
    <row r="878" ht="15.75" customHeight="1" s="26"/>
    <row r="879" ht="15.75" customHeight="1" s="26"/>
    <row r="880" ht="15.75" customHeight="1" s="26"/>
    <row r="881" ht="15.75" customHeight="1" s="26"/>
    <row r="882" ht="15.75" customHeight="1" s="26"/>
    <row r="883" ht="15.75" customHeight="1" s="26"/>
    <row r="884" ht="15.75" customHeight="1" s="26"/>
    <row r="885" ht="15.75" customHeight="1" s="26"/>
    <row r="886" ht="15.75" customHeight="1" s="26"/>
    <row r="887" ht="15.75" customHeight="1" s="26"/>
    <row r="888" ht="15.75" customHeight="1" s="26"/>
    <row r="889" ht="15.75" customHeight="1" s="26"/>
    <row r="890" ht="15.75" customHeight="1" s="26"/>
    <row r="891" ht="15.75" customHeight="1" s="26"/>
    <row r="892" ht="15.75" customHeight="1" s="26"/>
    <row r="893" ht="15.75" customHeight="1" s="26"/>
    <row r="894" ht="15.75" customHeight="1" s="26"/>
    <row r="895" ht="15.75" customHeight="1" s="26"/>
    <row r="896" ht="15.75" customHeight="1" s="26"/>
    <row r="897" ht="15.75" customHeight="1" s="26"/>
    <row r="898" ht="15.75" customHeight="1" s="26"/>
    <row r="899" ht="15.75" customHeight="1" s="26"/>
    <row r="900" ht="15.75" customHeight="1" s="26"/>
    <row r="901" ht="15.75" customHeight="1" s="26"/>
    <row r="902" ht="15.75" customHeight="1" s="26"/>
    <row r="903" ht="15.75" customHeight="1" s="26"/>
    <row r="904" ht="15.75" customHeight="1" s="26"/>
    <row r="905" ht="15.75" customHeight="1" s="26"/>
    <row r="906" ht="15.75" customHeight="1" s="26"/>
    <row r="907" ht="15.75" customHeight="1" s="26"/>
    <row r="908" ht="15.75" customHeight="1" s="26"/>
    <row r="909" ht="15.75" customHeight="1" s="26"/>
    <row r="910" ht="15.75" customHeight="1" s="26"/>
    <row r="911" ht="15.75" customHeight="1" s="26"/>
    <row r="912" ht="15.75" customHeight="1" s="26"/>
    <row r="913" ht="15.75" customHeight="1" s="26"/>
    <row r="914" ht="15.75" customHeight="1" s="26"/>
    <row r="915" ht="15.75" customHeight="1" s="26"/>
    <row r="916" ht="15.75" customHeight="1" s="26"/>
    <row r="917" ht="15.75" customHeight="1" s="26"/>
    <row r="918" ht="15.75" customHeight="1" s="26"/>
    <row r="919" ht="15.75" customHeight="1" s="26"/>
    <row r="920" ht="15.75" customHeight="1" s="26"/>
    <row r="921" ht="15.75" customHeight="1" s="26"/>
    <row r="922" ht="15.75" customHeight="1" s="26"/>
    <row r="923" ht="15.75" customHeight="1" s="26"/>
    <row r="924" ht="15.75" customHeight="1" s="26"/>
    <row r="925" ht="15.75" customHeight="1" s="26"/>
    <row r="926" ht="15.75" customHeight="1" s="26"/>
    <row r="927" ht="15.75" customHeight="1" s="26"/>
    <row r="928" ht="15.75" customHeight="1" s="26"/>
    <row r="929" ht="15.75" customHeight="1" s="26"/>
    <row r="930" ht="15.75" customHeight="1" s="26"/>
    <row r="931" ht="15.75" customHeight="1" s="26"/>
    <row r="932" ht="15.75" customHeight="1" s="26"/>
    <row r="933" ht="15.75" customHeight="1" s="26"/>
    <row r="934" ht="15.75" customHeight="1" s="26"/>
    <row r="935" ht="15.75" customHeight="1" s="26"/>
    <row r="936" ht="15.75" customHeight="1" s="26"/>
    <row r="937" ht="15.75" customHeight="1" s="26"/>
    <row r="938" ht="15.75" customHeight="1" s="26"/>
    <row r="939" ht="15.75" customHeight="1" s="26"/>
    <row r="940" ht="15.75" customHeight="1" s="26"/>
    <row r="941" ht="15.75" customHeight="1" s="26"/>
    <row r="942" ht="15.75" customHeight="1" s="26"/>
    <row r="943" ht="15.75" customHeight="1" s="26"/>
    <row r="944" ht="15.75" customHeight="1" s="26"/>
    <row r="945" ht="15.75" customHeight="1" s="26"/>
    <row r="946" ht="15.75" customHeight="1" s="26"/>
    <row r="947" ht="15.75" customHeight="1" s="26"/>
    <row r="948" ht="15.75" customHeight="1" s="26"/>
    <row r="949" ht="15.75" customHeight="1" s="26"/>
    <row r="950" ht="15.75" customHeight="1" s="26"/>
    <row r="951" ht="15.75" customHeight="1" s="26"/>
    <row r="952" ht="15.75" customHeight="1" s="26"/>
    <row r="953" ht="15.75" customHeight="1" s="26"/>
    <row r="954" ht="15.75" customHeight="1" s="26"/>
    <row r="955" ht="15.75" customHeight="1" s="26"/>
    <row r="956" ht="15.75" customHeight="1" s="26"/>
    <row r="957" ht="15.75" customHeight="1" s="26"/>
    <row r="958" ht="15.75" customHeight="1" s="26"/>
    <row r="959" ht="15.75" customHeight="1" s="26"/>
    <row r="960" ht="15.75" customHeight="1" s="26"/>
    <row r="961" ht="15.75" customHeight="1" s="26"/>
    <row r="962" ht="15.75" customHeight="1" s="26"/>
    <row r="963" ht="15.75" customHeight="1" s="26"/>
    <row r="964" ht="15.75" customHeight="1" s="26"/>
    <row r="965" ht="15.75" customHeight="1" s="26"/>
    <row r="966" ht="15.75" customHeight="1" s="26"/>
    <row r="967" ht="15.75" customHeight="1" s="26"/>
    <row r="968" ht="15.75" customHeight="1" s="26"/>
    <row r="969" ht="15.75" customHeight="1" s="26"/>
    <row r="970" ht="15.75" customHeight="1" s="26"/>
    <row r="971" ht="15.75" customHeight="1" s="26"/>
    <row r="972" ht="15.75" customHeight="1" s="26"/>
    <row r="973" ht="15.75" customHeight="1" s="26"/>
    <row r="974" ht="15.75" customHeight="1" s="26"/>
    <row r="975" ht="15.75" customHeight="1" s="26"/>
    <row r="976" ht="15.75" customHeight="1" s="26"/>
    <row r="977" ht="15.75" customHeight="1" s="26"/>
    <row r="978" ht="15.75" customHeight="1" s="26"/>
    <row r="979" ht="15.75" customHeight="1" s="26"/>
    <row r="980" ht="15.75" customHeight="1" s="26"/>
    <row r="981" ht="15.75" customHeight="1" s="26"/>
    <row r="982" ht="15.75" customHeight="1" s="26"/>
    <row r="983" ht="15.75" customHeight="1" s="26"/>
    <row r="984" ht="15.75" customHeight="1" s="26"/>
    <row r="985" ht="15.75" customHeight="1" s="26"/>
    <row r="986" ht="15.75" customHeight="1" s="26"/>
    <row r="987" ht="15.75" customHeight="1" s="26"/>
    <row r="988" ht="15.75" customHeight="1" s="26"/>
    <row r="989" ht="15.75" customHeight="1" s="26"/>
    <row r="990" ht="15.75" customHeight="1" s="26"/>
    <row r="991" ht="15.75" customHeight="1" s="26"/>
    <row r="992" ht="15.75" customHeight="1" s="26"/>
    <row r="993" ht="15.75" customHeight="1" s="26"/>
    <row r="994" ht="15.75" customHeight="1" s="26"/>
    <row r="995" ht="15.75" customHeight="1" s="26"/>
    <row r="996" ht="15.75" customHeight="1" s="26"/>
    <row r="997" ht="15.75" customHeight="1" s="26"/>
    <row r="998" ht="15.75" customHeight="1" s="26"/>
    <row r="999" ht="15.75" customHeight="1" s="26"/>
    <row r="1000" ht="15.75" customHeight="1" s="26"/>
  </sheetData>
  <mergeCells count="19">
    <mergeCell ref="E5:E6"/>
    <mergeCell ref="Q5:Q6"/>
    <mergeCell ref="J5:K5"/>
    <mergeCell ref="F4:O4"/>
    <mergeCell ref="F5:G5"/>
    <mergeCell ref="L5:M5"/>
    <mergeCell ref="N5:O5"/>
    <mergeCell ref="A5:A6"/>
    <mergeCell ref="S5:S6"/>
    <mergeCell ref="U5:U6"/>
    <mergeCell ref="R4:U4"/>
    <mergeCell ref="B5:B6"/>
    <mergeCell ref="D5:D6"/>
    <mergeCell ref="P5:P6"/>
    <mergeCell ref="A4:E4"/>
    <mergeCell ref="R5:R6"/>
    <mergeCell ref="H5:I5"/>
    <mergeCell ref="T5:T6"/>
    <mergeCell ref="C5:C6"/>
  </mergeCells>
  <conditionalFormatting sqref="Q7:Q16">
    <cfRule type="colorScale" priority="2">
      <colorScale>
        <cfvo type="formula" val="3"/>
        <cfvo type="formula" val="6"/>
        <cfvo type="formula" val="10"/>
        <color rgb="FFF8CBAD"/>
        <color rgb="FFFFE699"/>
        <color rgb="FFA9D08E"/>
      </colorScale>
    </cfRule>
  </conditionalFormatting>
  <hyperlinks>
    <hyperlink xmlns:r="http://schemas.openxmlformats.org/officeDocument/2006/relationships" ref="D7" display="Sr. Infrastructure &amp; Cloud Spend Manager" r:id="rId1"/>
    <hyperlink xmlns:r="http://schemas.openxmlformats.org/officeDocument/2006/relationships" ref="T7" display="https://www.linkedin.com/in/david-call-5a704a1/" r:id="rId2"/>
    <hyperlink xmlns:r="http://schemas.openxmlformats.org/officeDocument/2006/relationships" ref="D8" display="Senior Director, Technology FinOps" r:id="rId3"/>
    <hyperlink xmlns:r="http://schemas.openxmlformats.org/officeDocument/2006/relationships" ref="D9" display="Senior FinOps Analyst" r:id="rId4"/>
    <hyperlink xmlns:r="http://schemas.openxmlformats.org/officeDocument/2006/relationships" ref="D10" display="FinOps Lead" r:id="rId5"/>
    <hyperlink xmlns:r="http://schemas.openxmlformats.org/officeDocument/2006/relationships" ref="D11" display="Cloud Financial Operations Specialist" r:id="rId6"/>
    <hyperlink xmlns:r="http://schemas.openxmlformats.org/officeDocument/2006/relationships" ref="D12" display="FinOps Specialist" r:id="rId7"/>
    <hyperlink xmlns:r="http://schemas.openxmlformats.org/officeDocument/2006/relationships" ref="T12" display="https://www.linkedin.com/in/sandeep-p-581ab64/&#10;https://www.linkedin.com/in/shanecredille/" r:id="rId8"/>
    <hyperlink xmlns:r="http://schemas.openxmlformats.org/officeDocument/2006/relationships" ref="D13" display="Cloud FinOps Analyst" r:id="rId9"/>
    <hyperlink xmlns:r="http://schemas.openxmlformats.org/officeDocument/2006/relationships" ref="D14" display="AVP, Cloud Economics Finance Partner" r:id="rId10"/>
    <hyperlink xmlns:r="http://schemas.openxmlformats.org/officeDocument/2006/relationships" ref="D15" display="Cloud FinOps Engineer" r:id="rId11"/>
    <hyperlink xmlns:r="http://schemas.openxmlformats.org/officeDocument/2006/relationships" ref="D16" display="FinOps Specialist" r:id="rId12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D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4.43359375" defaultRowHeight="15" zeroHeight="0" outlineLevelRow="0"/>
  <cols>
    <col width="30" customWidth="1" style="25" min="1" max="1"/>
    <col width="8" customWidth="1" style="25" min="2" max="2"/>
    <col width="50" customWidth="1" style="25" min="3" max="4"/>
    <col width="8.710000000000001" customWidth="1" style="25" min="5" max="26"/>
  </cols>
  <sheetData>
    <row r="1" ht="17.35" customHeight="1" s="26">
      <c r="A1" s="27" t="inlineStr">
        <is>
          <t>Правила подсчёта баллов</t>
        </is>
      </c>
    </row>
    <row r="3" ht="15" customHeight="1" s="26">
      <c r="A3" s="29" t="inlineStr">
        <is>
          <t>Критерий</t>
        </is>
      </c>
      <c r="B3" s="29" t="inlineStr">
        <is>
          <t>Балл</t>
        </is>
      </c>
      <c r="C3" s="29" t="inlineStr">
        <is>
          <t>Когда ставим</t>
        </is>
      </c>
      <c r="D3" s="29" t="inlineStr">
        <is>
          <t>Почему это важно для Cloudaware</t>
        </is>
      </c>
    </row>
    <row r="4" ht="23.85" customHeight="1" s="26">
      <c r="A4" s="39" t="inlineStr">
        <is>
          <t>1. Облака (мультиоблако)</t>
        </is>
      </c>
      <c r="B4" s="37" t="n">
        <v>3</v>
      </c>
      <c r="C4" s="39" t="inlineStr">
        <is>
          <t>В вакансии названо больше одного облака (или облака + дата-центры)</t>
        </is>
      </c>
      <c r="D4" s="39" t="inlineStr">
        <is>
          <t>Главная сильная сторона Cloudaware — одна модель данных для всех облаков</t>
        </is>
      </c>
    </row>
    <row r="5" ht="23.85" customHeight="1" s="26">
      <c r="A5" s="39" t="inlineStr">
        <is>
          <t>2. Стадия FinOps</t>
        </is>
      </c>
      <c r="B5" s="37" t="n">
        <v>2</v>
      </c>
      <c r="C5" s="39" t="inlineStr">
        <is>
          <t>Практику создают с нуля или это первый специалист</t>
        </is>
      </c>
      <c r="D5" s="39" t="inlineStr">
        <is>
          <t>Инструмента, скорее всего, ещё нет — Cloudaware может стать им</t>
        </is>
      </c>
    </row>
    <row r="6" ht="23.85" customHeight="1" s="26">
      <c r="A6" s="39" t="inlineStr">
        <is>
          <t>3. Распределение затрат</t>
        </is>
      </c>
      <c r="B6" s="37" t="n">
        <v>2</v>
      </c>
      <c r="C6" s="39" t="inlineStr">
        <is>
          <t>Тегирование, showback/chargeback, разбивка по командам и продуктам</t>
        </is>
      </c>
      <c r="D6" s="39" t="inlineStr">
        <is>
          <t>Именно это решает связка CMDB + FinOps</t>
        </is>
      </c>
    </row>
    <row r="7" ht="23.85" customHeight="1" s="26">
      <c r="A7" s="39" t="inlineStr">
        <is>
          <t>4. Связь с CMDB</t>
        </is>
      </c>
      <c r="B7" s="37" t="n">
        <v>2</v>
      </c>
      <c r="C7" s="39" t="inlineStr">
        <is>
          <t>Затраты по приложениям, владельцам, окружениям; инвентаризация; дата-центры</t>
        </is>
      </c>
      <c r="D7" s="39" t="inlineStr">
        <is>
          <t>Ответ на вопрос «кто тратит» — то, чего нет у обычных FinOps-инструментов</t>
        </is>
      </c>
    </row>
    <row r="8" ht="23.85" customHeight="1" s="26">
      <c r="A8" s="39" t="inlineStr">
        <is>
          <t>5. Обязательства перед облаком</t>
        </is>
      </c>
      <c r="B8" s="37" t="n">
        <v>1</v>
      </c>
      <c r="C8" s="39" t="inlineStr">
        <is>
          <t>RI, Savings Plans, обязательства, покупки через AWS Marketplace</t>
        </is>
      </c>
      <c r="D8" s="39" t="inlineStr">
        <is>
          <t>Возможен разговор про оплату через маркетплейс (EDP/MACC)</t>
        </is>
      </c>
    </row>
    <row r="9" ht="23.85" customHeight="1" s="26">
      <c r="A9" s="39" t="inlineStr">
        <is>
          <t>Текущий инструмент</t>
        </is>
      </c>
      <c r="B9" s="37" t="inlineStr">
        <is>
          <t>—</t>
        </is>
      </c>
      <c r="C9" s="39" t="inlineStr">
        <is>
          <t>Не в баллах. Если назван конкурент (Flexera, Apptio, CloudHealth), компания уходит во второй эшелон</t>
        </is>
      </c>
      <c r="D9" s="39" t="inlineStr">
        <is>
          <t>Продать сложнее: нужен повод для замены</t>
        </is>
      </c>
    </row>
    <row r="11" ht="15" customHeight="1" s="26">
      <c r="A11" s="48" t="inlineStr">
        <is>
          <t>Максимум</t>
        </is>
      </c>
      <c r="B11" s="49">
        <f>SUM(B4:B8)</f>
        <v/>
      </c>
    </row>
    <row r="13" ht="15" customHeight="1" s="26">
      <c r="A13" s="50" t="inlineStr">
        <is>
          <t>Как пользоваться таблицей</t>
        </is>
      </c>
    </row>
    <row r="14" ht="30" customHeight="1" s="26">
      <c r="A14" s="51" t="inlineStr">
        <is>
          <t>• Синие цифры — баллы, их можно исправить, если при чтении вакансии под своим аккаунтом увидите больше деталей. Итог пересчитается сам.</t>
        </is>
      </c>
    </row>
    <row r="15" ht="30" customHeight="1" s="26">
      <c r="A15" s="51" t="inlineStr">
        <is>
          <t>• Размер компаний и облачный бюджет не проверялись. Для HealthEdge и Stride стоит отдельно убедиться, что бюджет достаточно большой для подписки.</t>
        </is>
      </c>
    </row>
    <row r="19" ht="15.75" customHeight="1" s="26"/>
    <row r="20" ht="15.75" customHeight="1" s="26"/>
    <row r="21" ht="15.75" customHeight="1" s="26"/>
    <row r="22" ht="15.75" customHeight="1" s="26"/>
    <row r="23" ht="15.75" customHeight="1" s="26"/>
    <row r="24" ht="15.75" customHeight="1" s="26"/>
    <row r="25" ht="15.75" customHeight="1" s="26"/>
    <row r="26" ht="15.75" customHeight="1" s="26"/>
    <row r="27" ht="15.75" customHeight="1" s="26"/>
    <row r="28" ht="15.75" customHeight="1" s="26"/>
    <row r="29" ht="15.75" customHeight="1" s="26"/>
    <row r="30" ht="15.75" customHeight="1" s="26"/>
    <row r="31" ht="15.75" customHeight="1" s="26"/>
    <row r="32" ht="15.75" customHeight="1" s="26"/>
    <row r="33" ht="15.75" customHeight="1" s="26"/>
    <row r="34" ht="15.75" customHeight="1" s="26"/>
    <row r="35" ht="15.75" customHeight="1" s="26"/>
    <row r="36" ht="15.75" customHeight="1" s="26"/>
    <row r="37" ht="15.75" customHeight="1" s="26"/>
    <row r="38" ht="15.75" customHeight="1" s="26"/>
    <row r="39" ht="15.75" customHeight="1" s="26"/>
    <row r="40" ht="15.75" customHeight="1" s="26"/>
    <row r="41" ht="15.75" customHeight="1" s="26"/>
    <row r="42" ht="15.75" customHeight="1" s="26"/>
    <row r="43" ht="15.75" customHeight="1" s="26"/>
    <row r="44" ht="15.75" customHeight="1" s="26"/>
    <row r="45" ht="15.75" customHeight="1" s="26"/>
    <row r="46" ht="15.75" customHeight="1" s="26"/>
    <row r="47" ht="15.75" customHeight="1" s="26"/>
    <row r="48" ht="15.75" customHeight="1" s="26"/>
    <row r="49" ht="15.75" customHeight="1" s="26"/>
    <row r="50" ht="15.75" customHeight="1" s="26"/>
    <row r="51" ht="15.75" customHeight="1" s="26"/>
    <row r="52" ht="15.75" customHeight="1" s="26"/>
    <row r="53" ht="15.75" customHeight="1" s="26"/>
    <row r="54" ht="15.75" customHeight="1" s="26"/>
    <row r="55" ht="15.75" customHeight="1" s="26"/>
    <row r="56" ht="15.75" customHeight="1" s="26"/>
    <row r="57" ht="15.75" customHeight="1" s="26"/>
    <row r="58" ht="15.75" customHeight="1" s="26"/>
    <row r="59" ht="15.75" customHeight="1" s="26"/>
    <row r="60" ht="15.75" customHeight="1" s="26"/>
    <row r="61" ht="15.75" customHeight="1" s="26"/>
    <row r="62" ht="15.75" customHeight="1" s="26"/>
    <row r="63" ht="15.75" customHeight="1" s="26"/>
    <row r="64" ht="15.75" customHeight="1" s="26"/>
    <row r="65" ht="15.75" customHeight="1" s="26"/>
    <row r="66" ht="15.75" customHeight="1" s="26"/>
    <row r="67" ht="15.75" customHeight="1" s="26"/>
    <row r="68" ht="15.75" customHeight="1" s="26"/>
    <row r="69" ht="15.75" customHeight="1" s="26"/>
    <row r="70" ht="15.75" customHeight="1" s="26"/>
    <row r="71" ht="15.75" customHeight="1" s="26"/>
    <row r="72" ht="15.75" customHeight="1" s="26"/>
    <row r="73" ht="15.75" customHeight="1" s="26"/>
    <row r="74" ht="15.75" customHeight="1" s="26"/>
    <row r="75" ht="15.75" customHeight="1" s="26"/>
    <row r="76" ht="15.75" customHeight="1" s="26"/>
    <row r="77" ht="15.75" customHeight="1" s="26"/>
    <row r="78" ht="15.75" customHeight="1" s="26"/>
    <row r="79" ht="15.75" customHeight="1" s="26"/>
    <row r="80" ht="15.75" customHeight="1" s="26"/>
    <row r="81" ht="15.75" customHeight="1" s="26"/>
    <row r="82" ht="15.75" customHeight="1" s="26"/>
    <row r="83" ht="15.75" customHeight="1" s="26"/>
    <row r="84" ht="15.75" customHeight="1" s="26"/>
    <row r="85" ht="15.75" customHeight="1" s="26"/>
    <row r="86" ht="15.75" customHeight="1" s="26"/>
    <row r="87" ht="15.75" customHeight="1" s="26"/>
    <row r="88" ht="15.75" customHeight="1" s="26"/>
    <row r="89" ht="15.75" customHeight="1" s="26"/>
    <row r="90" ht="15.75" customHeight="1" s="26"/>
    <row r="91" ht="15.75" customHeight="1" s="26"/>
    <row r="92" ht="15.75" customHeight="1" s="26"/>
    <row r="93" ht="15.75" customHeight="1" s="26"/>
    <row r="94" ht="15.75" customHeight="1" s="26"/>
    <row r="95" ht="15.75" customHeight="1" s="26"/>
    <row r="96" ht="15.75" customHeight="1" s="26"/>
    <row r="97" ht="15.75" customHeight="1" s="26"/>
    <row r="98" ht="15.75" customHeight="1" s="26"/>
    <row r="99" ht="15.75" customHeight="1" s="26"/>
    <row r="100" ht="15.75" customHeight="1" s="26"/>
    <row r="101" ht="15.75" customHeight="1" s="26"/>
    <row r="102" ht="15.75" customHeight="1" s="26"/>
    <row r="103" ht="15.75" customHeight="1" s="26"/>
    <row r="104" ht="15.75" customHeight="1" s="26"/>
    <row r="105" ht="15.75" customHeight="1" s="26"/>
    <row r="106" ht="15.75" customHeight="1" s="26"/>
    <row r="107" ht="15.75" customHeight="1" s="26"/>
    <row r="108" ht="15.75" customHeight="1" s="26"/>
    <row r="109" ht="15.75" customHeight="1" s="26"/>
    <row r="110" ht="15.75" customHeight="1" s="26"/>
    <row r="111" ht="15.75" customHeight="1" s="26"/>
    <row r="112" ht="15.75" customHeight="1" s="26"/>
    <row r="113" ht="15.75" customHeight="1" s="26"/>
    <row r="114" ht="15.75" customHeight="1" s="26"/>
    <row r="115" ht="15.75" customHeight="1" s="26"/>
    <row r="116" ht="15.75" customHeight="1" s="26"/>
    <row r="117" ht="15.75" customHeight="1" s="26"/>
    <row r="118" ht="15.75" customHeight="1" s="26"/>
    <row r="119" ht="15.75" customHeight="1" s="26"/>
    <row r="120" ht="15.75" customHeight="1" s="26"/>
    <row r="121" ht="15.75" customHeight="1" s="26"/>
    <row r="122" ht="15.75" customHeight="1" s="26"/>
    <row r="123" ht="15.75" customHeight="1" s="26"/>
    <row r="124" ht="15.75" customHeight="1" s="26"/>
    <row r="125" ht="15.75" customHeight="1" s="26"/>
    <row r="126" ht="15.75" customHeight="1" s="26"/>
    <row r="127" ht="15.75" customHeight="1" s="26"/>
    <row r="128" ht="15.75" customHeight="1" s="26"/>
    <row r="129" ht="15.75" customHeight="1" s="26"/>
    <row r="130" ht="15.75" customHeight="1" s="26"/>
    <row r="131" ht="15.75" customHeight="1" s="26"/>
    <row r="132" ht="15.75" customHeight="1" s="26"/>
    <row r="133" ht="15.75" customHeight="1" s="26"/>
    <row r="134" ht="15.75" customHeight="1" s="26"/>
    <row r="135" ht="15.75" customHeight="1" s="26"/>
    <row r="136" ht="15.75" customHeight="1" s="26"/>
    <row r="137" ht="15.75" customHeight="1" s="26"/>
    <row r="138" ht="15.75" customHeight="1" s="26"/>
    <row r="139" ht="15.75" customHeight="1" s="26"/>
    <row r="140" ht="15.75" customHeight="1" s="26"/>
    <row r="141" ht="15.75" customHeight="1" s="26"/>
    <row r="142" ht="15.75" customHeight="1" s="26"/>
    <row r="143" ht="15.75" customHeight="1" s="26"/>
    <row r="144" ht="15.75" customHeight="1" s="26"/>
    <row r="145" ht="15.75" customHeight="1" s="26"/>
    <row r="146" ht="15.75" customHeight="1" s="26"/>
    <row r="147" ht="15.75" customHeight="1" s="26"/>
    <row r="148" ht="15.75" customHeight="1" s="26"/>
    <row r="149" ht="15.75" customHeight="1" s="26"/>
    <row r="150" ht="15.75" customHeight="1" s="26"/>
    <row r="151" ht="15.75" customHeight="1" s="26"/>
    <row r="152" ht="15.75" customHeight="1" s="26"/>
    <row r="153" ht="15.75" customHeight="1" s="26"/>
    <row r="154" ht="15.75" customHeight="1" s="26"/>
    <row r="155" ht="15.75" customHeight="1" s="26"/>
    <row r="156" ht="15.75" customHeight="1" s="26"/>
    <row r="157" ht="15.75" customHeight="1" s="26"/>
    <row r="158" ht="15.75" customHeight="1" s="26"/>
    <row r="159" ht="15.75" customHeight="1" s="26"/>
    <row r="160" ht="15.75" customHeight="1" s="26"/>
    <row r="161" ht="15.75" customHeight="1" s="26"/>
    <row r="162" ht="15.75" customHeight="1" s="26"/>
    <row r="163" ht="15.75" customHeight="1" s="26"/>
    <row r="164" ht="15.75" customHeight="1" s="26"/>
    <row r="165" ht="15.75" customHeight="1" s="26"/>
    <row r="166" ht="15.75" customHeight="1" s="26"/>
    <row r="167" ht="15.75" customHeight="1" s="26"/>
    <row r="168" ht="15.75" customHeight="1" s="26"/>
    <row r="169" ht="15.75" customHeight="1" s="26"/>
    <row r="170" ht="15.75" customHeight="1" s="26"/>
    <row r="171" ht="15.75" customHeight="1" s="26"/>
    <row r="172" ht="15.75" customHeight="1" s="26"/>
    <row r="173" ht="15.75" customHeight="1" s="26"/>
    <row r="174" ht="15.75" customHeight="1" s="26"/>
    <row r="175" ht="15.75" customHeight="1" s="26"/>
    <row r="176" ht="15.75" customHeight="1" s="26"/>
    <row r="177" ht="15.75" customHeight="1" s="26"/>
    <row r="178" ht="15.75" customHeight="1" s="26"/>
    <row r="179" ht="15.75" customHeight="1" s="26"/>
    <row r="180" ht="15.75" customHeight="1" s="26"/>
    <row r="181" ht="15.75" customHeight="1" s="26"/>
    <row r="182" ht="15.75" customHeight="1" s="26"/>
    <row r="183" ht="15.75" customHeight="1" s="26"/>
    <row r="184" ht="15.75" customHeight="1" s="26"/>
    <row r="185" ht="15.75" customHeight="1" s="26"/>
    <row r="186" ht="15.75" customHeight="1" s="26"/>
    <row r="187" ht="15.75" customHeight="1" s="26"/>
    <row r="188" ht="15.75" customHeight="1" s="26"/>
    <row r="189" ht="15.75" customHeight="1" s="26"/>
    <row r="190" ht="15.75" customHeight="1" s="26"/>
    <row r="191" ht="15.75" customHeight="1" s="26"/>
    <row r="192" ht="15.75" customHeight="1" s="26"/>
    <row r="193" ht="15.75" customHeight="1" s="26"/>
    <row r="194" ht="15.75" customHeight="1" s="26"/>
    <row r="195" ht="15.75" customHeight="1" s="26"/>
    <row r="196" ht="15.75" customHeight="1" s="26"/>
    <row r="197" ht="15.75" customHeight="1" s="26"/>
    <row r="198" ht="15.75" customHeight="1" s="26"/>
    <row r="199" ht="15.75" customHeight="1" s="26"/>
    <row r="200" ht="15.75" customHeight="1" s="26"/>
    <row r="201" ht="15.75" customHeight="1" s="26"/>
    <row r="202" ht="15.75" customHeight="1" s="26"/>
    <row r="203" ht="15.75" customHeight="1" s="26"/>
    <row r="204" ht="15.75" customHeight="1" s="26"/>
    <row r="205" ht="15.75" customHeight="1" s="26"/>
    <row r="206" ht="15.75" customHeight="1" s="26"/>
    <row r="207" ht="15.75" customHeight="1" s="26"/>
    <row r="208" ht="15.75" customHeight="1" s="26"/>
    <row r="209" ht="15.75" customHeight="1" s="26"/>
    <row r="210" ht="15.75" customHeight="1" s="26"/>
    <row r="211" ht="15.75" customHeight="1" s="26"/>
    <row r="212" ht="15.75" customHeight="1" s="26"/>
    <row r="213" ht="15.75" customHeight="1" s="26"/>
    <row r="214" ht="15.75" customHeight="1" s="26"/>
    <row r="215" ht="15.75" customHeight="1" s="26"/>
    <row r="216" ht="15.75" customHeight="1" s="26"/>
    <row r="217" ht="15.75" customHeight="1" s="26"/>
    <row r="218" ht="15.75" customHeight="1" s="26"/>
    <row r="219" ht="15.75" customHeight="1" s="26"/>
    <row r="220" ht="15.75" customHeight="1" s="26"/>
    <row r="221" ht="15.75" customHeight="1" s="26"/>
    <row r="222" ht="15.75" customHeight="1" s="26"/>
    <row r="223" ht="15.75" customHeight="1" s="26"/>
    <row r="224" ht="15.75" customHeight="1" s="26"/>
    <row r="225" ht="15.75" customHeight="1" s="26"/>
    <row r="226" ht="15.75" customHeight="1" s="26"/>
    <row r="227" ht="15.75" customHeight="1" s="26"/>
    <row r="228" ht="15.75" customHeight="1" s="26"/>
    <row r="229" ht="15.75" customHeight="1" s="26"/>
    <row r="230" ht="15.75" customHeight="1" s="26"/>
    <row r="231" ht="15.75" customHeight="1" s="26"/>
    <row r="232" ht="15.75" customHeight="1" s="26"/>
    <row r="233" ht="15.75" customHeight="1" s="26"/>
    <row r="234" ht="15.75" customHeight="1" s="26"/>
    <row r="235" ht="15.75" customHeight="1" s="26"/>
    <row r="236" ht="15.75" customHeight="1" s="26"/>
    <row r="237" ht="15.75" customHeight="1" s="26"/>
    <row r="238" ht="15.75" customHeight="1" s="26"/>
    <row r="239" ht="15.75" customHeight="1" s="26"/>
    <row r="240" ht="15.75" customHeight="1" s="26"/>
    <row r="241" ht="15.75" customHeight="1" s="26"/>
    <row r="242" ht="15.75" customHeight="1" s="26"/>
    <row r="243" ht="15.75" customHeight="1" s="26"/>
    <row r="244" ht="15.75" customHeight="1" s="26"/>
    <row r="245" ht="15.75" customHeight="1" s="26"/>
    <row r="246" ht="15.75" customHeight="1" s="26"/>
    <row r="247" ht="15.75" customHeight="1" s="26"/>
    <row r="248" ht="15.75" customHeight="1" s="26"/>
    <row r="249" ht="15.75" customHeight="1" s="26"/>
    <row r="250" ht="15.75" customHeight="1" s="26"/>
    <row r="251" ht="15.75" customHeight="1" s="26"/>
    <row r="252" ht="15.75" customHeight="1" s="26"/>
    <row r="253" ht="15.75" customHeight="1" s="26"/>
    <row r="254" ht="15.75" customHeight="1" s="26"/>
    <row r="255" ht="15.75" customHeight="1" s="26"/>
    <row r="256" ht="15.75" customHeight="1" s="26"/>
    <row r="257" ht="15.75" customHeight="1" s="26"/>
    <row r="258" ht="15.75" customHeight="1" s="26"/>
    <row r="259" ht="15.75" customHeight="1" s="26"/>
    <row r="260" ht="15.75" customHeight="1" s="26"/>
    <row r="261" ht="15.75" customHeight="1" s="26"/>
    <row r="262" ht="15.75" customHeight="1" s="26"/>
    <row r="263" ht="15.75" customHeight="1" s="26"/>
    <row r="264" ht="15.75" customHeight="1" s="26"/>
    <row r="265" ht="15.75" customHeight="1" s="26"/>
    <row r="266" ht="15.75" customHeight="1" s="26"/>
    <row r="267" ht="15.75" customHeight="1" s="26"/>
    <row r="268" ht="15.75" customHeight="1" s="26"/>
    <row r="269" ht="15.75" customHeight="1" s="26"/>
    <row r="270" ht="15.75" customHeight="1" s="26"/>
    <row r="271" ht="15.75" customHeight="1" s="26"/>
    <row r="272" ht="15.75" customHeight="1" s="26"/>
    <row r="273" ht="15.75" customHeight="1" s="26"/>
    <row r="274" ht="15.75" customHeight="1" s="26"/>
    <row r="275" ht="15.75" customHeight="1" s="26"/>
    <row r="276" ht="15.75" customHeight="1" s="26"/>
    <row r="277" ht="15.75" customHeight="1" s="26"/>
    <row r="278" ht="15.75" customHeight="1" s="26"/>
    <row r="279" ht="15.75" customHeight="1" s="26"/>
    <row r="280" ht="15.75" customHeight="1" s="26"/>
    <row r="281" ht="15.75" customHeight="1" s="26"/>
    <row r="282" ht="15.75" customHeight="1" s="26"/>
    <row r="283" ht="15.75" customHeight="1" s="26"/>
    <row r="284" ht="15.75" customHeight="1" s="26"/>
    <row r="285" ht="15.75" customHeight="1" s="26"/>
    <row r="286" ht="15.75" customHeight="1" s="26"/>
    <row r="287" ht="15.75" customHeight="1" s="26"/>
    <row r="288" ht="15.75" customHeight="1" s="26"/>
    <row r="289" ht="15.75" customHeight="1" s="26"/>
    <row r="290" ht="15.75" customHeight="1" s="26"/>
    <row r="291" ht="15.75" customHeight="1" s="26"/>
    <row r="292" ht="15.75" customHeight="1" s="26"/>
    <row r="293" ht="15.75" customHeight="1" s="26"/>
    <row r="294" ht="15.75" customHeight="1" s="26"/>
    <row r="295" ht="15.75" customHeight="1" s="26"/>
    <row r="296" ht="15.75" customHeight="1" s="26"/>
    <row r="297" ht="15.75" customHeight="1" s="26"/>
    <row r="298" ht="15.75" customHeight="1" s="26"/>
    <row r="299" ht="15.75" customHeight="1" s="26"/>
    <row r="300" ht="15.75" customHeight="1" s="26"/>
    <row r="301" ht="15.75" customHeight="1" s="26"/>
    <row r="302" ht="15.75" customHeight="1" s="26"/>
    <row r="303" ht="15.75" customHeight="1" s="26"/>
    <row r="304" ht="15.75" customHeight="1" s="26"/>
    <row r="305" ht="15.75" customHeight="1" s="26"/>
    <row r="306" ht="15.75" customHeight="1" s="26"/>
    <row r="307" ht="15.75" customHeight="1" s="26"/>
    <row r="308" ht="15.75" customHeight="1" s="26"/>
    <row r="309" ht="15.75" customHeight="1" s="26"/>
    <row r="310" ht="15.75" customHeight="1" s="26"/>
    <row r="311" ht="15.75" customHeight="1" s="26"/>
    <row r="312" ht="15.75" customHeight="1" s="26"/>
    <row r="313" ht="15.75" customHeight="1" s="26"/>
    <row r="314" ht="15.75" customHeight="1" s="26"/>
    <row r="315" ht="15.75" customHeight="1" s="26"/>
    <row r="316" ht="15.75" customHeight="1" s="26"/>
    <row r="317" ht="15.75" customHeight="1" s="26"/>
    <row r="318" ht="15.75" customHeight="1" s="26"/>
    <row r="319" ht="15.75" customHeight="1" s="26"/>
    <row r="320" ht="15.75" customHeight="1" s="26"/>
    <row r="321" ht="15.75" customHeight="1" s="26"/>
    <row r="322" ht="15.75" customHeight="1" s="26"/>
    <row r="323" ht="15.75" customHeight="1" s="26"/>
    <row r="324" ht="15.75" customHeight="1" s="26"/>
    <row r="325" ht="15.75" customHeight="1" s="26"/>
    <row r="326" ht="15.75" customHeight="1" s="26"/>
    <row r="327" ht="15.75" customHeight="1" s="26"/>
    <row r="328" ht="15.75" customHeight="1" s="26"/>
    <row r="329" ht="15.75" customHeight="1" s="26"/>
    <row r="330" ht="15.75" customHeight="1" s="26"/>
    <row r="331" ht="15.75" customHeight="1" s="26"/>
    <row r="332" ht="15.75" customHeight="1" s="26"/>
    <row r="333" ht="15.75" customHeight="1" s="26"/>
    <row r="334" ht="15.75" customHeight="1" s="26"/>
    <row r="335" ht="15.75" customHeight="1" s="26"/>
    <row r="336" ht="15.75" customHeight="1" s="26"/>
    <row r="337" ht="15.75" customHeight="1" s="26"/>
    <row r="338" ht="15.75" customHeight="1" s="26"/>
    <row r="339" ht="15.75" customHeight="1" s="26"/>
    <row r="340" ht="15.75" customHeight="1" s="26"/>
    <row r="341" ht="15.75" customHeight="1" s="26"/>
    <row r="342" ht="15.75" customHeight="1" s="26"/>
    <row r="343" ht="15.75" customHeight="1" s="26"/>
    <row r="344" ht="15.75" customHeight="1" s="26"/>
    <row r="345" ht="15.75" customHeight="1" s="26"/>
    <row r="346" ht="15.75" customHeight="1" s="26"/>
    <row r="347" ht="15.75" customHeight="1" s="26"/>
    <row r="348" ht="15.75" customHeight="1" s="26"/>
    <row r="349" ht="15.75" customHeight="1" s="26"/>
    <row r="350" ht="15.75" customHeight="1" s="26"/>
    <row r="351" ht="15.75" customHeight="1" s="26"/>
    <row r="352" ht="15.75" customHeight="1" s="26"/>
    <row r="353" ht="15.75" customHeight="1" s="26"/>
    <row r="354" ht="15.75" customHeight="1" s="26"/>
    <row r="355" ht="15.75" customHeight="1" s="26"/>
    <row r="356" ht="15.75" customHeight="1" s="26"/>
    <row r="357" ht="15.75" customHeight="1" s="26"/>
    <row r="358" ht="15.75" customHeight="1" s="26"/>
    <row r="359" ht="15.75" customHeight="1" s="26"/>
    <row r="360" ht="15.75" customHeight="1" s="26"/>
    <row r="361" ht="15.75" customHeight="1" s="26"/>
    <row r="362" ht="15.75" customHeight="1" s="26"/>
    <row r="363" ht="15.75" customHeight="1" s="26"/>
    <row r="364" ht="15.75" customHeight="1" s="26"/>
    <row r="365" ht="15.75" customHeight="1" s="26"/>
    <row r="366" ht="15.75" customHeight="1" s="26"/>
    <row r="367" ht="15.75" customHeight="1" s="26"/>
    <row r="368" ht="15.75" customHeight="1" s="26"/>
    <row r="369" ht="15.75" customHeight="1" s="26"/>
    <row r="370" ht="15.75" customHeight="1" s="26"/>
    <row r="371" ht="15.75" customHeight="1" s="26"/>
    <row r="372" ht="15.75" customHeight="1" s="26"/>
    <row r="373" ht="15.75" customHeight="1" s="26"/>
    <row r="374" ht="15.75" customHeight="1" s="26"/>
    <row r="375" ht="15.75" customHeight="1" s="26"/>
    <row r="376" ht="15.75" customHeight="1" s="26"/>
    <row r="377" ht="15.75" customHeight="1" s="26"/>
    <row r="378" ht="15.75" customHeight="1" s="26"/>
    <row r="379" ht="15.75" customHeight="1" s="26"/>
    <row r="380" ht="15.75" customHeight="1" s="26"/>
    <row r="381" ht="15.75" customHeight="1" s="26"/>
    <row r="382" ht="15.75" customHeight="1" s="26"/>
    <row r="383" ht="15.75" customHeight="1" s="26"/>
    <row r="384" ht="15.75" customHeight="1" s="26"/>
    <row r="385" ht="15.75" customHeight="1" s="26"/>
    <row r="386" ht="15.75" customHeight="1" s="26"/>
    <row r="387" ht="15.75" customHeight="1" s="26"/>
    <row r="388" ht="15.75" customHeight="1" s="26"/>
    <row r="389" ht="15.75" customHeight="1" s="26"/>
    <row r="390" ht="15.75" customHeight="1" s="26"/>
    <row r="391" ht="15.75" customHeight="1" s="26"/>
    <row r="392" ht="15.75" customHeight="1" s="26"/>
    <row r="393" ht="15.75" customHeight="1" s="26"/>
    <row r="394" ht="15.75" customHeight="1" s="26"/>
    <row r="395" ht="15.75" customHeight="1" s="26"/>
    <row r="396" ht="15.75" customHeight="1" s="26"/>
    <row r="397" ht="15.75" customHeight="1" s="26"/>
    <row r="398" ht="15.75" customHeight="1" s="26"/>
    <row r="399" ht="15.75" customHeight="1" s="26"/>
    <row r="400" ht="15.75" customHeight="1" s="26"/>
    <row r="401" ht="15.75" customHeight="1" s="26"/>
    <row r="402" ht="15.75" customHeight="1" s="26"/>
    <row r="403" ht="15.75" customHeight="1" s="26"/>
    <row r="404" ht="15.75" customHeight="1" s="26"/>
    <row r="405" ht="15.75" customHeight="1" s="26"/>
    <row r="406" ht="15.75" customHeight="1" s="26"/>
    <row r="407" ht="15.75" customHeight="1" s="26"/>
    <row r="408" ht="15.75" customHeight="1" s="26"/>
    <row r="409" ht="15.75" customHeight="1" s="26"/>
    <row r="410" ht="15.75" customHeight="1" s="26"/>
    <row r="411" ht="15.75" customHeight="1" s="26"/>
    <row r="412" ht="15.75" customHeight="1" s="26"/>
    <row r="413" ht="15.75" customHeight="1" s="26"/>
    <row r="414" ht="15.75" customHeight="1" s="26"/>
    <row r="415" ht="15.75" customHeight="1" s="26"/>
    <row r="416" ht="15.75" customHeight="1" s="26"/>
    <row r="417" ht="15.75" customHeight="1" s="26"/>
    <row r="418" ht="15.75" customHeight="1" s="26"/>
    <row r="419" ht="15.75" customHeight="1" s="26"/>
    <row r="420" ht="15.75" customHeight="1" s="26"/>
    <row r="421" ht="15.75" customHeight="1" s="26"/>
    <row r="422" ht="15.75" customHeight="1" s="26"/>
    <row r="423" ht="15.75" customHeight="1" s="26"/>
    <row r="424" ht="15.75" customHeight="1" s="26"/>
    <row r="425" ht="15.75" customHeight="1" s="26"/>
    <row r="426" ht="15.75" customHeight="1" s="26"/>
    <row r="427" ht="15.75" customHeight="1" s="26"/>
    <row r="428" ht="15.75" customHeight="1" s="26"/>
    <row r="429" ht="15.75" customHeight="1" s="26"/>
    <row r="430" ht="15.75" customHeight="1" s="26"/>
    <row r="431" ht="15.75" customHeight="1" s="26"/>
    <row r="432" ht="15.75" customHeight="1" s="26"/>
    <row r="433" ht="15.75" customHeight="1" s="26"/>
    <row r="434" ht="15.75" customHeight="1" s="26"/>
    <row r="435" ht="15.75" customHeight="1" s="26"/>
    <row r="436" ht="15.75" customHeight="1" s="26"/>
    <row r="437" ht="15.75" customHeight="1" s="26"/>
    <row r="438" ht="15.75" customHeight="1" s="26"/>
    <row r="439" ht="15.75" customHeight="1" s="26"/>
    <row r="440" ht="15.75" customHeight="1" s="26"/>
    <row r="441" ht="15.75" customHeight="1" s="26"/>
    <row r="442" ht="15.75" customHeight="1" s="26"/>
    <row r="443" ht="15.75" customHeight="1" s="26"/>
    <row r="444" ht="15.75" customHeight="1" s="26"/>
    <row r="445" ht="15.75" customHeight="1" s="26"/>
    <row r="446" ht="15.75" customHeight="1" s="26"/>
    <row r="447" ht="15.75" customHeight="1" s="26"/>
    <row r="448" ht="15.75" customHeight="1" s="26"/>
    <row r="449" ht="15.75" customHeight="1" s="26"/>
    <row r="450" ht="15.75" customHeight="1" s="26"/>
    <row r="451" ht="15.75" customHeight="1" s="26"/>
    <row r="452" ht="15.75" customHeight="1" s="26"/>
    <row r="453" ht="15.75" customHeight="1" s="26"/>
    <row r="454" ht="15.75" customHeight="1" s="26"/>
    <row r="455" ht="15.75" customHeight="1" s="26"/>
    <row r="456" ht="15.75" customHeight="1" s="26"/>
    <row r="457" ht="15.75" customHeight="1" s="26"/>
    <row r="458" ht="15.75" customHeight="1" s="26"/>
    <row r="459" ht="15.75" customHeight="1" s="26"/>
    <row r="460" ht="15.75" customHeight="1" s="26"/>
    <row r="461" ht="15.75" customHeight="1" s="26"/>
    <row r="462" ht="15.75" customHeight="1" s="26"/>
    <row r="463" ht="15.75" customHeight="1" s="26"/>
    <row r="464" ht="15.75" customHeight="1" s="26"/>
    <row r="465" ht="15.75" customHeight="1" s="26"/>
    <row r="466" ht="15.75" customHeight="1" s="26"/>
    <row r="467" ht="15.75" customHeight="1" s="26"/>
    <row r="468" ht="15.75" customHeight="1" s="26"/>
    <row r="469" ht="15.75" customHeight="1" s="26"/>
    <row r="470" ht="15.75" customHeight="1" s="26"/>
    <row r="471" ht="15.75" customHeight="1" s="26"/>
    <row r="472" ht="15.75" customHeight="1" s="26"/>
    <row r="473" ht="15.75" customHeight="1" s="26"/>
    <row r="474" ht="15.75" customHeight="1" s="26"/>
    <row r="475" ht="15.75" customHeight="1" s="26"/>
    <row r="476" ht="15.75" customHeight="1" s="26"/>
    <row r="477" ht="15.75" customHeight="1" s="26"/>
    <row r="478" ht="15.75" customHeight="1" s="26"/>
    <row r="479" ht="15.75" customHeight="1" s="26"/>
    <row r="480" ht="15.75" customHeight="1" s="26"/>
    <row r="481" ht="15.75" customHeight="1" s="26"/>
    <row r="482" ht="15.75" customHeight="1" s="26"/>
    <row r="483" ht="15.75" customHeight="1" s="26"/>
    <row r="484" ht="15.75" customHeight="1" s="26"/>
    <row r="485" ht="15.75" customHeight="1" s="26"/>
    <row r="486" ht="15.75" customHeight="1" s="26"/>
    <row r="487" ht="15.75" customHeight="1" s="26"/>
    <row r="488" ht="15.75" customHeight="1" s="26"/>
    <row r="489" ht="15.75" customHeight="1" s="26"/>
    <row r="490" ht="15.75" customHeight="1" s="26"/>
    <row r="491" ht="15.75" customHeight="1" s="26"/>
    <row r="492" ht="15.75" customHeight="1" s="26"/>
    <row r="493" ht="15.75" customHeight="1" s="26"/>
    <row r="494" ht="15.75" customHeight="1" s="26"/>
    <row r="495" ht="15.75" customHeight="1" s="26"/>
    <row r="496" ht="15.75" customHeight="1" s="26"/>
    <row r="497" ht="15.75" customHeight="1" s="26"/>
    <row r="498" ht="15.75" customHeight="1" s="26"/>
    <row r="499" ht="15.75" customHeight="1" s="26"/>
    <row r="500" ht="15.75" customHeight="1" s="26"/>
    <row r="501" ht="15.75" customHeight="1" s="26"/>
    <row r="502" ht="15.75" customHeight="1" s="26"/>
    <row r="503" ht="15.75" customHeight="1" s="26"/>
    <row r="504" ht="15.75" customHeight="1" s="26"/>
    <row r="505" ht="15.75" customHeight="1" s="26"/>
    <row r="506" ht="15.75" customHeight="1" s="26"/>
    <row r="507" ht="15.75" customHeight="1" s="26"/>
    <row r="508" ht="15.75" customHeight="1" s="26"/>
    <row r="509" ht="15.75" customHeight="1" s="26"/>
    <row r="510" ht="15.75" customHeight="1" s="26"/>
    <row r="511" ht="15.75" customHeight="1" s="26"/>
    <row r="512" ht="15.75" customHeight="1" s="26"/>
    <row r="513" ht="15.75" customHeight="1" s="26"/>
    <row r="514" ht="15.75" customHeight="1" s="26"/>
    <row r="515" ht="15.75" customHeight="1" s="26"/>
    <row r="516" ht="15.75" customHeight="1" s="26"/>
    <row r="517" ht="15.75" customHeight="1" s="26"/>
    <row r="518" ht="15.75" customHeight="1" s="26"/>
    <row r="519" ht="15.75" customHeight="1" s="26"/>
    <row r="520" ht="15.75" customHeight="1" s="26"/>
    <row r="521" ht="15.75" customHeight="1" s="26"/>
    <row r="522" ht="15.75" customHeight="1" s="26"/>
    <row r="523" ht="15.75" customHeight="1" s="26"/>
    <row r="524" ht="15.75" customHeight="1" s="26"/>
    <row r="525" ht="15.75" customHeight="1" s="26"/>
    <row r="526" ht="15.75" customHeight="1" s="26"/>
    <row r="527" ht="15.75" customHeight="1" s="26"/>
    <row r="528" ht="15.75" customHeight="1" s="26"/>
    <row r="529" ht="15.75" customHeight="1" s="26"/>
    <row r="530" ht="15.75" customHeight="1" s="26"/>
    <row r="531" ht="15.75" customHeight="1" s="26"/>
    <row r="532" ht="15.75" customHeight="1" s="26"/>
    <row r="533" ht="15.75" customHeight="1" s="26"/>
    <row r="534" ht="15.75" customHeight="1" s="26"/>
    <row r="535" ht="15.75" customHeight="1" s="26"/>
    <row r="536" ht="15.75" customHeight="1" s="26"/>
    <row r="537" ht="15.75" customHeight="1" s="26"/>
    <row r="538" ht="15.75" customHeight="1" s="26"/>
    <row r="539" ht="15.75" customHeight="1" s="26"/>
    <row r="540" ht="15.75" customHeight="1" s="26"/>
    <row r="541" ht="15.75" customHeight="1" s="26"/>
    <row r="542" ht="15.75" customHeight="1" s="26"/>
    <row r="543" ht="15.75" customHeight="1" s="26"/>
    <row r="544" ht="15.75" customHeight="1" s="26"/>
    <row r="545" ht="15.75" customHeight="1" s="26"/>
    <row r="546" ht="15.75" customHeight="1" s="26"/>
    <row r="547" ht="15.75" customHeight="1" s="26"/>
    <row r="548" ht="15.75" customHeight="1" s="26"/>
    <row r="549" ht="15.75" customHeight="1" s="26"/>
    <row r="550" ht="15.75" customHeight="1" s="26"/>
    <row r="551" ht="15.75" customHeight="1" s="26"/>
    <row r="552" ht="15.75" customHeight="1" s="26"/>
    <row r="553" ht="15.75" customHeight="1" s="26"/>
    <row r="554" ht="15.75" customHeight="1" s="26"/>
    <row r="555" ht="15.75" customHeight="1" s="26"/>
    <row r="556" ht="15.75" customHeight="1" s="26"/>
    <row r="557" ht="15.75" customHeight="1" s="26"/>
    <row r="558" ht="15.75" customHeight="1" s="26"/>
    <row r="559" ht="15.75" customHeight="1" s="26"/>
    <row r="560" ht="15.75" customHeight="1" s="26"/>
    <row r="561" ht="15.75" customHeight="1" s="26"/>
    <row r="562" ht="15.75" customHeight="1" s="26"/>
    <row r="563" ht="15.75" customHeight="1" s="26"/>
    <row r="564" ht="15.75" customHeight="1" s="26"/>
    <row r="565" ht="15.75" customHeight="1" s="26"/>
    <row r="566" ht="15.75" customHeight="1" s="26"/>
    <row r="567" ht="15.75" customHeight="1" s="26"/>
    <row r="568" ht="15.75" customHeight="1" s="26"/>
    <row r="569" ht="15.75" customHeight="1" s="26"/>
    <row r="570" ht="15.75" customHeight="1" s="26"/>
    <row r="571" ht="15.75" customHeight="1" s="26"/>
    <row r="572" ht="15.75" customHeight="1" s="26"/>
    <row r="573" ht="15.75" customHeight="1" s="26"/>
    <row r="574" ht="15.75" customHeight="1" s="26"/>
    <row r="575" ht="15.75" customHeight="1" s="26"/>
    <row r="576" ht="15.75" customHeight="1" s="26"/>
    <row r="577" ht="15.75" customHeight="1" s="26"/>
    <row r="578" ht="15.75" customHeight="1" s="26"/>
    <row r="579" ht="15.75" customHeight="1" s="26"/>
    <row r="580" ht="15.75" customHeight="1" s="26"/>
    <row r="581" ht="15.75" customHeight="1" s="26"/>
    <row r="582" ht="15.75" customHeight="1" s="26"/>
    <row r="583" ht="15.75" customHeight="1" s="26"/>
    <row r="584" ht="15.75" customHeight="1" s="26"/>
    <row r="585" ht="15.75" customHeight="1" s="26"/>
    <row r="586" ht="15.75" customHeight="1" s="26"/>
    <row r="587" ht="15.75" customHeight="1" s="26"/>
    <row r="588" ht="15.75" customHeight="1" s="26"/>
    <row r="589" ht="15.75" customHeight="1" s="26"/>
    <row r="590" ht="15.75" customHeight="1" s="26"/>
    <row r="591" ht="15.75" customHeight="1" s="26"/>
    <row r="592" ht="15.75" customHeight="1" s="26"/>
    <row r="593" ht="15.75" customHeight="1" s="26"/>
    <row r="594" ht="15.75" customHeight="1" s="26"/>
    <row r="595" ht="15.75" customHeight="1" s="26"/>
    <row r="596" ht="15.75" customHeight="1" s="26"/>
    <row r="597" ht="15.75" customHeight="1" s="26"/>
    <row r="598" ht="15.75" customHeight="1" s="26"/>
    <row r="599" ht="15.75" customHeight="1" s="26"/>
    <row r="600" ht="15.75" customHeight="1" s="26"/>
    <row r="601" ht="15.75" customHeight="1" s="26"/>
    <row r="602" ht="15.75" customHeight="1" s="26"/>
    <row r="603" ht="15.75" customHeight="1" s="26"/>
    <row r="604" ht="15.75" customHeight="1" s="26"/>
    <row r="605" ht="15.75" customHeight="1" s="26"/>
    <row r="606" ht="15.75" customHeight="1" s="26"/>
    <row r="607" ht="15.75" customHeight="1" s="26"/>
    <row r="608" ht="15.75" customHeight="1" s="26"/>
    <row r="609" ht="15.75" customHeight="1" s="26"/>
    <row r="610" ht="15.75" customHeight="1" s="26"/>
    <row r="611" ht="15.75" customHeight="1" s="26"/>
    <row r="612" ht="15.75" customHeight="1" s="26"/>
    <row r="613" ht="15.75" customHeight="1" s="26"/>
    <row r="614" ht="15.75" customHeight="1" s="26"/>
    <row r="615" ht="15.75" customHeight="1" s="26"/>
    <row r="616" ht="15.75" customHeight="1" s="26"/>
    <row r="617" ht="15.75" customHeight="1" s="26"/>
    <row r="618" ht="15.75" customHeight="1" s="26"/>
    <row r="619" ht="15.75" customHeight="1" s="26"/>
    <row r="620" ht="15.75" customHeight="1" s="26"/>
    <row r="621" ht="15.75" customHeight="1" s="26"/>
    <row r="622" ht="15.75" customHeight="1" s="26"/>
    <row r="623" ht="15.75" customHeight="1" s="26"/>
    <row r="624" ht="15.75" customHeight="1" s="26"/>
    <row r="625" ht="15.75" customHeight="1" s="26"/>
    <row r="626" ht="15.75" customHeight="1" s="26"/>
    <row r="627" ht="15.75" customHeight="1" s="26"/>
    <row r="628" ht="15.75" customHeight="1" s="26"/>
    <row r="629" ht="15.75" customHeight="1" s="26"/>
    <row r="630" ht="15.75" customHeight="1" s="26"/>
    <row r="631" ht="15.75" customHeight="1" s="26"/>
    <row r="632" ht="15.75" customHeight="1" s="26"/>
    <row r="633" ht="15.75" customHeight="1" s="26"/>
    <row r="634" ht="15.75" customHeight="1" s="26"/>
    <row r="635" ht="15.75" customHeight="1" s="26"/>
    <row r="636" ht="15.75" customHeight="1" s="26"/>
    <row r="637" ht="15.75" customHeight="1" s="26"/>
    <row r="638" ht="15.75" customHeight="1" s="26"/>
    <row r="639" ht="15.75" customHeight="1" s="26"/>
    <row r="640" ht="15.75" customHeight="1" s="26"/>
    <row r="641" ht="15.75" customHeight="1" s="26"/>
    <row r="642" ht="15.75" customHeight="1" s="26"/>
    <row r="643" ht="15.75" customHeight="1" s="26"/>
    <row r="644" ht="15.75" customHeight="1" s="26"/>
    <row r="645" ht="15.75" customHeight="1" s="26"/>
    <row r="646" ht="15.75" customHeight="1" s="26"/>
    <row r="647" ht="15.75" customHeight="1" s="26"/>
    <row r="648" ht="15.75" customHeight="1" s="26"/>
    <row r="649" ht="15.75" customHeight="1" s="26"/>
    <row r="650" ht="15.75" customHeight="1" s="26"/>
    <row r="651" ht="15.75" customHeight="1" s="26"/>
    <row r="652" ht="15.75" customHeight="1" s="26"/>
    <row r="653" ht="15.75" customHeight="1" s="26"/>
    <row r="654" ht="15.75" customHeight="1" s="26"/>
    <row r="655" ht="15.75" customHeight="1" s="26"/>
    <row r="656" ht="15.75" customHeight="1" s="26"/>
    <row r="657" ht="15.75" customHeight="1" s="26"/>
    <row r="658" ht="15.75" customHeight="1" s="26"/>
    <row r="659" ht="15.75" customHeight="1" s="26"/>
    <row r="660" ht="15.75" customHeight="1" s="26"/>
    <row r="661" ht="15.75" customHeight="1" s="26"/>
    <row r="662" ht="15.75" customHeight="1" s="26"/>
    <row r="663" ht="15.75" customHeight="1" s="26"/>
    <row r="664" ht="15.75" customHeight="1" s="26"/>
    <row r="665" ht="15.75" customHeight="1" s="26"/>
    <row r="666" ht="15.75" customHeight="1" s="26"/>
    <row r="667" ht="15.75" customHeight="1" s="26"/>
    <row r="668" ht="15.75" customHeight="1" s="26"/>
    <row r="669" ht="15.75" customHeight="1" s="26"/>
    <row r="670" ht="15.75" customHeight="1" s="26"/>
    <row r="671" ht="15.75" customHeight="1" s="26"/>
    <row r="672" ht="15.75" customHeight="1" s="26"/>
    <row r="673" ht="15.75" customHeight="1" s="26"/>
    <row r="674" ht="15.75" customHeight="1" s="26"/>
    <row r="675" ht="15.75" customHeight="1" s="26"/>
    <row r="676" ht="15.75" customHeight="1" s="26"/>
    <row r="677" ht="15.75" customHeight="1" s="26"/>
    <row r="678" ht="15.75" customHeight="1" s="26"/>
    <row r="679" ht="15.75" customHeight="1" s="26"/>
    <row r="680" ht="15.75" customHeight="1" s="26"/>
    <row r="681" ht="15.75" customHeight="1" s="26"/>
    <row r="682" ht="15.75" customHeight="1" s="26"/>
    <row r="683" ht="15.75" customHeight="1" s="26"/>
    <row r="684" ht="15.75" customHeight="1" s="26"/>
    <row r="685" ht="15.75" customHeight="1" s="26"/>
    <row r="686" ht="15.75" customHeight="1" s="26"/>
    <row r="687" ht="15.75" customHeight="1" s="26"/>
    <row r="688" ht="15.75" customHeight="1" s="26"/>
    <row r="689" ht="15.75" customHeight="1" s="26"/>
    <row r="690" ht="15.75" customHeight="1" s="26"/>
    <row r="691" ht="15.75" customHeight="1" s="26"/>
    <row r="692" ht="15.75" customHeight="1" s="26"/>
    <row r="693" ht="15.75" customHeight="1" s="26"/>
    <row r="694" ht="15.75" customHeight="1" s="26"/>
    <row r="695" ht="15.75" customHeight="1" s="26"/>
    <row r="696" ht="15.75" customHeight="1" s="26"/>
    <row r="697" ht="15.75" customHeight="1" s="26"/>
    <row r="698" ht="15.75" customHeight="1" s="26"/>
    <row r="699" ht="15.75" customHeight="1" s="26"/>
    <row r="700" ht="15.75" customHeight="1" s="26"/>
    <row r="701" ht="15.75" customHeight="1" s="26"/>
    <row r="702" ht="15.75" customHeight="1" s="26"/>
    <row r="703" ht="15.75" customHeight="1" s="26"/>
    <row r="704" ht="15.75" customHeight="1" s="26"/>
    <row r="705" ht="15.75" customHeight="1" s="26"/>
    <row r="706" ht="15.75" customHeight="1" s="26"/>
    <row r="707" ht="15.75" customHeight="1" s="26"/>
    <row r="708" ht="15.75" customHeight="1" s="26"/>
    <row r="709" ht="15.75" customHeight="1" s="26"/>
    <row r="710" ht="15.75" customHeight="1" s="26"/>
    <row r="711" ht="15.75" customHeight="1" s="26"/>
    <row r="712" ht="15.75" customHeight="1" s="26"/>
    <row r="713" ht="15.75" customHeight="1" s="26"/>
    <row r="714" ht="15.75" customHeight="1" s="26"/>
    <row r="715" ht="15.75" customHeight="1" s="26"/>
    <row r="716" ht="15.75" customHeight="1" s="26"/>
    <row r="717" ht="15.75" customHeight="1" s="26"/>
    <row r="718" ht="15.75" customHeight="1" s="26"/>
    <row r="719" ht="15.75" customHeight="1" s="26"/>
    <row r="720" ht="15.75" customHeight="1" s="26"/>
    <row r="721" ht="15.75" customHeight="1" s="26"/>
    <row r="722" ht="15.75" customHeight="1" s="26"/>
    <row r="723" ht="15.75" customHeight="1" s="26"/>
    <row r="724" ht="15.75" customHeight="1" s="26"/>
    <row r="725" ht="15.75" customHeight="1" s="26"/>
    <row r="726" ht="15.75" customHeight="1" s="26"/>
    <row r="727" ht="15.75" customHeight="1" s="26"/>
    <row r="728" ht="15.75" customHeight="1" s="26"/>
    <row r="729" ht="15.75" customHeight="1" s="26"/>
    <row r="730" ht="15.75" customHeight="1" s="26"/>
    <row r="731" ht="15.75" customHeight="1" s="26"/>
    <row r="732" ht="15.75" customHeight="1" s="26"/>
    <row r="733" ht="15.75" customHeight="1" s="26"/>
    <row r="734" ht="15.75" customHeight="1" s="26"/>
    <row r="735" ht="15.75" customHeight="1" s="26"/>
    <row r="736" ht="15.75" customHeight="1" s="26"/>
    <row r="737" ht="15.75" customHeight="1" s="26"/>
    <row r="738" ht="15.75" customHeight="1" s="26"/>
    <row r="739" ht="15.75" customHeight="1" s="26"/>
    <row r="740" ht="15.75" customHeight="1" s="26"/>
    <row r="741" ht="15.75" customHeight="1" s="26"/>
    <row r="742" ht="15.75" customHeight="1" s="26"/>
    <row r="743" ht="15.75" customHeight="1" s="26"/>
    <row r="744" ht="15.75" customHeight="1" s="26"/>
    <row r="745" ht="15.75" customHeight="1" s="26"/>
    <row r="746" ht="15.75" customHeight="1" s="26"/>
    <row r="747" ht="15.75" customHeight="1" s="26"/>
    <row r="748" ht="15.75" customHeight="1" s="26"/>
    <row r="749" ht="15.75" customHeight="1" s="26"/>
    <row r="750" ht="15.75" customHeight="1" s="26"/>
    <row r="751" ht="15.75" customHeight="1" s="26"/>
    <row r="752" ht="15.75" customHeight="1" s="26"/>
    <row r="753" ht="15.75" customHeight="1" s="26"/>
    <row r="754" ht="15.75" customHeight="1" s="26"/>
    <row r="755" ht="15.75" customHeight="1" s="26"/>
    <row r="756" ht="15.75" customHeight="1" s="26"/>
    <row r="757" ht="15.75" customHeight="1" s="26"/>
    <row r="758" ht="15.75" customHeight="1" s="26"/>
    <row r="759" ht="15.75" customHeight="1" s="26"/>
    <row r="760" ht="15.75" customHeight="1" s="26"/>
    <row r="761" ht="15.75" customHeight="1" s="26"/>
    <row r="762" ht="15.75" customHeight="1" s="26"/>
    <row r="763" ht="15.75" customHeight="1" s="26"/>
    <row r="764" ht="15.75" customHeight="1" s="26"/>
    <row r="765" ht="15.75" customHeight="1" s="26"/>
    <row r="766" ht="15.75" customHeight="1" s="26"/>
    <row r="767" ht="15.75" customHeight="1" s="26"/>
    <row r="768" ht="15.75" customHeight="1" s="26"/>
    <row r="769" ht="15.75" customHeight="1" s="26"/>
    <row r="770" ht="15.75" customHeight="1" s="26"/>
    <row r="771" ht="15.75" customHeight="1" s="26"/>
    <row r="772" ht="15.75" customHeight="1" s="26"/>
    <row r="773" ht="15.75" customHeight="1" s="26"/>
    <row r="774" ht="15.75" customHeight="1" s="26"/>
    <row r="775" ht="15.75" customHeight="1" s="26"/>
    <row r="776" ht="15.75" customHeight="1" s="26"/>
    <row r="777" ht="15.75" customHeight="1" s="26"/>
    <row r="778" ht="15.75" customHeight="1" s="26"/>
    <row r="779" ht="15.75" customHeight="1" s="26"/>
    <row r="780" ht="15.75" customHeight="1" s="26"/>
    <row r="781" ht="15.75" customHeight="1" s="26"/>
    <row r="782" ht="15.75" customHeight="1" s="26"/>
    <row r="783" ht="15.75" customHeight="1" s="26"/>
    <row r="784" ht="15.75" customHeight="1" s="26"/>
    <row r="785" ht="15.75" customHeight="1" s="26"/>
    <row r="786" ht="15.75" customHeight="1" s="26"/>
    <row r="787" ht="15.75" customHeight="1" s="26"/>
    <row r="788" ht="15.75" customHeight="1" s="26"/>
    <row r="789" ht="15.75" customHeight="1" s="26"/>
    <row r="790" ht="15.75" customHeight="1" s="26"/>
    <row r="791" ht="15.75" customHeight="1" s="26"/>
    <row r="792" ht="15.75" customHeight="1" s="26"/>
    <row r="793" ht="15.75" customHeight="1" s="26"/>
    <row r="794" ht="15.75" customHeight="1" s="26"/>
    <row r="795" ht="15.75" customHeight="1" s="26"/>
    <row r="796" ht="15.75" customHeight="1" s="26"/>
    <row r="797" ht="15.75" customHeight="1" s="26"/>
    <row r="798" ht="15.75" customHeight="1" s="26"/>
    <row r="799" ht="15.75" customHeight="1" s="26"/>
    <row r="800" ht="15.75" customHeight="1" s="26"/>
    <row r="801" ht="15.75" customHeight="1" s="26"/>
    <row r="802" ht="15.75" customHeight="1" s="26"/>
    <row r="803" ht="15.75" customHeight="1" s="26"/>
    <row r="804" ht="15.75" customHeight="1" s="26"/>
    <row r="805" ht="15.75" customHeight="1" s="26"/>
    <row r="806" ht="15.75" customHeight="1" s="26"/>
    <row r="807" ht="15.75" customHeight="1" s="26"/>
    <row r="808" ht="15.75" customHeight="1" s="26"/>
    <row r="809" ht="15.75" customHeight="1" s="26"/>
    <row r="810" ht="15.75" customHeight="1" s="26"/>
    <row r="811" ht="15.75" customHeight="1" s="26"/>
    <row r="812" ht="15.75" customHeight="1" s="26"/>
    <row r="813" ht="15.75" customHeight="1" s="26"/>
    <row r="814" ht="15.75" customHeight="1" s="26"/>
    <row r="815" ht="15.75" customHeight="1" s="26"/>
    <row r="816" ht="15.75" customHeight="1" s="26"/>
    <row r="817" ht="15.75" customHeight="1" s="26"/>
    <row r="818" ht="15.75" customHeight="1" s="26"/>
    <row r="819" ht="15.75" customHeight="1" s="26"/>
    <row r="820" ht="15.75" customHeight="1" s="26"/>
    <row r="821" ht="15.75" customHeight="1" s="26"/>
    <row r="822" ht="15.75" customHeight="1" s="26"/>
    <row r="823" ht="15.75" customHeight="1" s="26"/>
    <row r="824" ht="15.75" customHeight="1" s="26"/>
    <row r="825" ht="15.75" customHeight="1" s="26"/>
    <row r="826" ht="15.75" customHeight="1" s="26"/>
    <row r="827" ht="15.75" customHeight="1" s="26"/>
    <row r="828" ht="15.75" customHeight="1" s="26"/>
    <row r="829" ht="15.75" customHeight="1" s="26"/>
    <row r="830" ht="15.75" customHeight="1" s="26"/>
    <row r="831" ht="15.75" customHeight="1" s="26"/>
    <row r="832" ht="15.75" customHeight="1" s="26"/>
    <row r="833" ht="15.75" customHeight="1" s="26"/>
    <row r="834" ht="15.75" customHeight="1" s="26"/>
    <row r="835" ht="15.75" customHeight="1" s="26"/>
    <row r="836" ht="15.75" customHeight="1" s="26"/>
    <row r="837" ht="15.75" customHeight="1" s="26"/>
    <row r="838" ht="15.75" customHeight="1" s="26"/>
    <row r="839" ht="15.75" customHeight="1" s="26"/>
    <row r="840" ht="15.75" customHeight="1" s="26"/>
    <row r="841" ht="15.75" customHeight="1" s="26"/>
    <row r="842" ht="15.75" customHeight="1" s="26"/>
    <row r="843" ht="15.75" customHeight="1" s="26"/>
    <row r="844" ht="15.75" customHeight="1" s="26"/>
    <row r="845" ht="15.75" customHeight="1" s="26"/>
    <row r="846" ht="15.75" customHeight="1" s="26"/>
    <row r="847" ht="15.75" customHeight="1" s="26"/>
    <row r="848" ht="15.75" customHeight="1" s="26"/>
    <row r="849" ht="15.75" customHeight="1" s="26"/>
    <row r="850" ht="15.75" customHeight="1" s="26"/>
    <row r="851" ht="15.75" customHeight="1" s="26"/>
    <row r="852" ht="15.75" customHeight="1" s="26"/>
    <row r="853" ht="15.75" customHeight="1" s="26"/>
    <row r="854" ht="15.75" customHeight="1" s="26"/>
    <row r="855" ht="15.75" customHeight="1" s="26"/>
    <row r="856" ht="15.75" customHeight="1" s="26"/>
    <row r="857" ht="15.75" customHeight="1" s="26"/>
    <row r="858" ht="15.75" customHeight="1" s="26"/>
    <row r="859" ht="15.75" customHeight="1" s="26"/>
    <row r="860" ht="15.75" customHeight="1" s="26"/>
    <row r="861" ht="15.75" customHeight="1" s="26"/>
    <row r="862" ht="15.75" customHeight="1" s="26"/>
    <row r="863" ht="15.75" customHeight="1" s="26"/>
    <row r="864" ht="15.75" customHeight="1" s="26"/>
    <row r="865" ht="15.75" customHeight="1" s="26"/>
    <row r="866" ht="15.75" customHeight="1" s="26"/>
    <row r="867" ht="15.75" customHeight="1" s="26"/>
    <row r="868" ht="15.75" customHeight="1" s="26"/>
    <row r="869" ht="15.75" customHeight="1" s="26"/>
    <row r="870" ht="15.75" customHeight="1" s="26"/>
    <row r="871" ht="15.75" customHeight="1" s="26"/>
    <row r="872" ht="15.75" customHeight="1" s="26"/>
    <row r="873" ht="15.75" customHeight="1" s="26"/>
    <row r="874" ht="15.75" customHeight="1" s="26"/>
    <row r="875" ht="15.75" customHeight="1" s="26"/>
    <row r="876" ht="15.75" customHeight="1" s="26"/>
    <row r="877" ht="15.75" customHeight="1" s="26"/>
    <row r="878" ht="15.75" customHeight="1" s="26"/>
    <row r="879" ht="15.75" customHeight="1" s="26"/>
    <row r="880" ht="15.75" customHeight="1" s="26"/>
    <row r="881" ht="15.75" customHeight="1" s="26"/>
    <row r="882" ht="15.75" customHeight="1" s="26"/>
    <row r="883" ht="15.75" customHeight="1" s="26"/>
    <row r="884" ht="15.75" customHeight="1" s="26"/>
    <row r="885" ht="15.75" customHeight="1" s="26"/>
    <row r="886" ht="15.75" customHeight="1" s="26"/>
    <row r="887" ht="15.75" customHeight="1" s="26"/>
    <row r="888" ht="15.75" customHeight="1" s="26"/>
    <row r="889" ht="15.75" customHeight="1" s="26"/>
    <row r="890" ht="15.75" customHeight="1" s="26"/>
    <row r="891" ht="15.75" customHeight="1" s="26"/>
    <row r="892" ht="15.75" customHeight="1" s="26"/>
    <row r="893" ht="15.75" customHeight="1" s="26"/>
    <row r="894" ht="15.75" customHeight="1" s="26"/>
    <row r="895" ht="15.75" customHeight="1" s="26"/>
    <row r="896" ht="15.75" customHeight="1" s="26"/>
    <row r="897" ht="15.75" customHeight="1" s="26"/>
    <row r="898" ht="15.75" customHeight="1" s="26"/>
    <row r="899" ht="15.75" customHeight="1" s="26"/>
    <row r="900" ht="15.75" customHeight="1" s="26"/>
    <row r="901" ht="15.75" customHeight="1" s="26"/>
    <row r="902" ht="15.75" customHeight="1" s="26"/>
    <row r="903" ht="15.75" customHeight="1" s="26"/>
    <row r="904" ht="15.75" customHeight="1" s="26"/>
    <row r="905" ht="15.75" customHeight="1" s="26"/>
    <row r="906" ht="15.75" customHeight="1" s="26"/>
    <row r="907" ht="15.75" customHeight="1" s="26"/>
    <row r="908" ht="15.75" customHeight="1" s="26"/>
    <row r="909" ht="15.75" customHeight="1" s="26"/>
    <row r="910" ht="15.75" customHeight="1" s="26"/>
    <row r="911" ht="15.75" customHeight="1" s="26"/>
    <row r="912" ht="15.75" customHeight="1" s="26"/>
    <row r="913" ht="15.75" customHeight="1" s="26"/>
    <row r="914" ht="15.75" customHeight="1" s="26"/>
    <row r="915" ht="15.75" customHeight="1" s="26"/>
    <row r="916" ht="15.75" customHeight="1" s="26"/>
    <row r="917" ht="15.75" customHeight="1" s="26"/>
    <row r="918" ht="15.75" customHeight="1" s="26"/>
    <row r="919" ht="15.75" customHeight="1" s="26"/>
    <row r="920" ht="15.75" customHeight="1" s="26"/>
    <row r="921" ht="15.75" customHeight="1" s="26"/>
    <row r="922" ht="15.75" customHeight="1" s="26"/>
    <row r="923" ht="15.75" customHeight="1" s="26"/>
    <row r="924" ht="15.75" customHeight="1" s="26"/>
    <row r="925" ht="15.75" customHeight="1" s="26"/>
    <row r="926" ht="15.75" customHeight="1" s="26"/>
    <row r="927" ht="15.75" customHeight="1" s="26"/>
    <row r="928" ht="15.75" customHeight="1" s="26"/>
    <row r="929" ht="15.75" customHeight="1" s="26"/>
    <row r="930" ht="15.75" customHeight="1" s="26"/>
    <row r="931" ht="15.75" customHeight="1" s="26"/>
    <row r="932" ht="15.75" customHeight="1" s="26"/>
    <row r="933" ht="15.75" customHeight="1" s="26"/>
    <row r="934" ht="15.75" customHeight="1" s="26"/>
    <row r="935" ht="15.75" customHeight="1" s="26"/>
    <row r="936" ht="15.75" customHeight="1" s="26"/>
    <row r="937" ht="15.75" customHeight="1" s="26"/>
    <row r="938" ht="15.75" customHeight="1" s="26"/>
    <row r="939" ht="15.75" customHeight="1" s="26"/>
    <row r="940" ht="15.75" customHeight="1" s="26"/>
    <row r="941" ht="15.75" customHeight="1" s="26"/>
    <row r="942" ht="15.75" customHeight="1" s="26"/>
    <row r="943" ht="15.75" customHeight="1" s="26"/>
    <row r="944" ht="15.75" customHeight="1" s="26"/>
    <row r="945" ht="15.75" customHeight="1" s="26"/>
    <row r="946" ht="15.75" customHeight="1" s="26"/>
    <row r="947" ht="15.75" customHeight="1" s="26"/>
    <row r="948" ht="15.75" customHeight="1" s="26"/>
    <row r="949" ht="15.75" customHeight="1" s="26"/>
    <row r="950" ht="15.75" customHeight="1" s="26"/>
    <row r="951" ht="15.75" customHeight="1" s="26"/>
    <row r="952" ht="15.75" customHeight="1" s="26"/>
    <row r="953" ht="15.75" customHeight="1" s="26"/>
    <row r="954" ht="15.75" customHeight="1" s="26"/>
    <row r="955" ht="15.75" customHeight="1" s="26"/>
    <row r="956" ht="15.75" customHeight="1" s="26"/>
    <row r="957" ht="15.75" customHeight="1" s="26"/>
    <row r="958" ht="15.75" customHeight="1" s="26"/>
    <row r="959" ht="15.75" customHeight="1" s="26"/>
    <row r="960" ht="15.75" customHeight="1" s="26"/>
    <row r="961" ht="15.75" customHeight="1" s="26"/>
    <row r="962" ht="15.75" customHeight="1" s="26"/>
    <row r="963" ht="15.75" customHeight="1" s="26"/>
    <row r="964" ht="15.75" customHeight="1" s="26"/>
    <row r="965" ht="15.75" customHeight="1" s="26"/>
    <row r="966" ht="15.75" customHeight="1" s="26"/>
    <row r="967" ht="15.75" customHeight="1" s="26"/>
    <row r="968" ht="15.75" customHeight="1" s="26"/>
    <row r="969" ht="15.75" customHeight="1" s="26"/>
    <row r="970" ht="15.75" customHeight="1" s="26"/>
    <row r="971" ht="15.75" customHeight="1" s="26"/>
    <row r="972" ht="15.75" customHeight="1" s="26"/>
    <row r="973" ht="15.75" customHeight="1" s="26"/>
    <row r="974" ht="15.75" customHeight="1" s="26"/>
    <row r="975" ht="15.75" customHeight="1" s="26"/>
    <row r="976" ht="15.75" customHeight="1" s="26"/>
    <row r="977" ht="15.75" customHeight="1" s="26"/>
    <row r="978" ht="15.75" customHeight="1" s="26"/>
    <row r="979" ht="15.75" customHeight="1" s="26"/>
    <row r="980" ht="15.75" customHeight="1" s="26"/>
    <row r="981" ht="15.75" customHeight="1" s="26"/>
    <row r="982" ht="15.75" customHeight="1" s="26"/>
    <row r="983" ht="15.75" customHeight="1" s="26"/>
    <row r="984" ht="15.75" customHeight="1" s="26"/>
    <row r="985" ht="15.75" customHeight="1" s="26"/>
    <row r="986" ht="15.75" customHeight="1" s="26"/>
    <row r="987" ht="15.75" customHeight="1" s="26"/>
    <row r="988" ht="15.75" customHeight="1" s="26"/>
    <row r="989" ht="15.75" customHeight="1" s="26"/>
    <row r="990" ht="15.75" customHeight="1" s="26"/>
    <row r="991" ht="15.75" customHeight="1" s="26"/>
    <row r="992" ht="15.75" customHeight="1" s="26"/>
    <row r="993" ht="15.75" customHeight="1" s="26"/>
    <row r="994" ht="15.75" customHeight="1" s="26"/>
    <row r="995" ht="15.75" customHeight="1" s="26"/>
    <row r="996" ht="15.75" customHeight="1" s="26"/>
    <row r="997" ht="15.75" customHeight="1" s="26"/>
    <row r="998" ht="15.75" customHeight="1" s="26"/>
  </sheetData>
  <mergeCells count="2">
    <mergeCell ref="A15:D15"/>
    <mergeCell ref="A14:D1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E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4.43359375" defaultRowHeight="15" zeroHeight="0" outlineLevelRow="0"/>
  <cols>
    <col width="20" customWidth="1" style="25" min="1" max="1"/>
    <col width="34" customWidth="1" style="25" min="2" max="2"/>
    <col width="16" customWidth="1" style="25" min="3" max="3"/>
    <col width="44" customWidth="1" style="25" min="4" max="4"/>
    <col width="36" customWidth="1" style="25" min="5" max="5"/>
    <col width="8.710000000000001" customWidth="1" style="25" min="6" max="26"/>
  </cols>
  <sheetData>
    <row r="1" ht="17.35" customHeight="1" s="26">
      <c r="A1" s="27" t="inlineStr">
        <is>
          <t>Второй эшелон: подходят, но с оговорками</t>
        </is>
      </c>
    </row>
    <row r="3" ht="15" customHeight="1" s="26">
      <c r="A3" s="29" t="inlineStr">
        <is>
          <t>Компания</t>
        </is>
      </c>
      <c r="B3" s="29" t="inlineStr">
        <is>
          <t>Вакансия</t>
        </is>
      </c>
      <c r="C3" s="29" t="inlineStr">
        <is>
          <t>Опубликована</t>
        </is>
      </c>
      <c r="D3" s="29" t="inlineStr">
        <is>
          <t>Что подходит</t>
        </is>
      </c>
      <c r="E3" s="29" t="inlineStr">
        <is>
          <t>Почему ниже приоритет</t>
        </is>
      </c>
    </row>
    <row r="4" ht="23.85" customHeight="1" s="26">
      <c r="A4" s="38" t="inlineStr">
        <is>
          <t>Velera</t>
        </is>
      </c>
      <c r="B4" s="40" t="inlineStr">
        <is>
          <t>FinOps Lead - Cloud</t>
        </is>
      </c>
      <c r="C4" s="39" t="inlineStr">
        <is>
          <t>23.09.2026 (2 дня)</t>
        </is>
      </c>
      <c r="D4" s="39" t="inlineStr">
        <is>
          <t>Мультиоблако, создают FinOps Center of Excellence, подчинение VP Platform Engineering</t>
        </is>
      </c>
      <c r="E4" s="39" t="inlineStr">
        <is>
          <t>Уже используют Flexera One — конкурента</t>
        </is>
      </c>
    </row>
    <row r="5" ht="23.85" customHeight="1" s="26">
      <c r="A5" s="38" t="inlineStr">
        <is>
          <t>HUB International</t>
        </is>
      </c>
      <c r="B5" s="40" t="inlineStr">
        <is>
          <t>Senior Manager, TBM Platform &amp; Cloud FinOps</t>
        </is>
      </c>
      <c r="C5" s="39" t="inlineStr">
        <is>
          <t>22.09.2026 (3 дня)</t>
        </is>
      </c>
      <c r="D5" s="39" t="inlineStr">
        <is>
          <t>Крупная компания (~20 000 сотрудников), растёт через поглощения</t>
        </is>
      </c>
      <c r="E5" s="39" t="inlineStr">
        <is>
          <t>Уже используют Apptio</t>
        </is>
      </c>
    </row>
    <row r="6" ht="23.85" customHeight="1" s="26">
      <c r="A6" s="38" t="inlineStr">
        <is>
          <t>FanDuel</t>
        </is>
      </c>
      <c r="B6" s="40" t="inlineStr">
        <is>
          <t>Senior FinOps Engineer</t>
        </is>
      </c>
      <c r="C6" s="39" t="inlineStr">
        <is>
          <t>18.09.2026 (1 нед.)</t>
        </is>
      </c>
      <c r="D6" s="39" t="inlineStr">
        <is>
          <t>Отвечает за инструменты управления облачными затратами</t>
        </is>
      </c>
      <c r="E6" s="39" t="inlineStr">
        <is>
          <t>Только AWS и Datadog — одно облако</t>
        </is>
      </c>
    </row>
    <row r="7" ht="23.85" customHeight="1" s="26">
      <c r="A7" s="38" t="inlineStr">
        <is>
          <t>VF Corporation</t>
        </is>
      </c>
      <c r="B7" s="40" t="inlineStr">
        <is>
          <t>Cloud FinOps Analyst</t>
        </is>
      </c>
      <c r="C7" s="39" t="inlineStr">
        <is>
          <t>23.09.2026 (2 дня)</t>
        </is>
      </c>
      <c r="D7" s="39" t="inlineStr">
        <is>
          <t>Команда Cloud Governance, политики и контроль затрат</t>
        </is>
      </c>
      <c r="E7" s="39" t="inlineStr">
        <is>
          <t>Текст вакансии общий, сигналов мало</t>
        </is>
      </c>
    </row>
    <row r="8" ht="150" customHeight="1" s="26">
      <c r="A8" s="53" t="inlineStr">
        <is>
          <t>Edward Jones</t>
        </is>
      </c>
      <c r="B8" s="54" t="inlineStr">
        <is>
          <t>Senior Digital Product Owner (FinOps)</t>
        </is>
      </c>
      <c r="C8" s="55" t="inlineStr">
        <is>
          <t>26.09.2026 (1 нед.)</t>
        </is>
      </c>
      <c r="D8" s="55" t="inlineStr">
        <is>
          <t>Fortune 500, 20 000 консультантов, St. Louis; крупные облачные расходы; роль: распределение затрат, showback/chargeback, коммитменты (reservations, savings plans), service owners и CSDM.
Контакт: Kevin Krueger — Head of Cloud Business Office (с 08.2024; 10+ лет FinOps/TBM; сам нанимает на «growing and maturing FinOps program»; проверено по профилю). Репостнул вакансию Managing Director, Head of Cloud — возможно, его руководитель.</t>
        </is>
      </c>
      <c r="E8" s="55" t="inlineStr">
        <is>
          <t>«Mature FinOps organization» в вакансии (в посте Kevin — «growing and maturing»); в требованиях Cloudability/CloudHealth — вероятен конкурент; CSDM = ServiceNow CMDB; облака названы расплывчато (Azure + другие). Оценка ≈5 из 10. Письмо Kevin — как к практику: вопрос про актуальность атрибуции владельцев, cross-check рядом с текущим инструментом.</t>
        </is>
      </c>
    </row>
    <row r="9" ht="120" customHeight="1" s="26">
      <c r="A9" s="53" t="inlineStr">
        <is>
          <t>WTW</t>
        </is>
      </c>
      <c r="B9" s="54" t="inlineStr">
        <is>
          <t>— (вакансии нет, сигнал — должность)</t>
        </is>
      </c>
      <c r="C9" s="55" t="inlineStr">
        <is>
          <t>—</t>
        </is>
      </c>
      <c r="D9" s="55" t="inlineStr">
        <is>
          <t>Rob Fewkes — Head of Cost Optimization – Global Technology (с 02.2026, 9 мес.; проверено по профилю). До этого 3 года Head of Cloud Business Office в MetLife (прогнозы, облачные расходы). Роль целиком про технологические затраты.</t>
        </is>
      </c>
      <c r="E9" s="55" t="inlineStr">
        <is>
          <t>Холодный заход без вакансии; WTW — advisory/брокер (консалтинг по документу исключён, но решено работать с Rob как с внутренним покупателем); облака и бюджет не проверены. В письме не упоминать MetLife и Leroy Straker. Ссылка: https://www.linkedin.com/in/robfewkes</t>
        </is>
      </c>
    </row>
    <row r="10" ht="30" customHeight="1" s="26">
      <c r="A10" s="52" t="inlineStr">
        <is>
          <t>Исключены сразу: консалтинг и интеграторы (Deloitte, Accenture, Cognizant, Alvarez &amp; Marsal, TCS, WWT, AHEAD, Synechron), господрядчики (SAIC, Peraton, Booz Allen, MetroStar), кадровые агентства, AI-лаборатории, ServiceNow (конкурент).</t>
        </is>
      </c>
    </row>
    <row r="21" ht="15.75" customHeight="1" s="26"/>
    <row r="22" ht="15.75" customHeight="1" s="26"/>
    <row r="23" ht="15.75" customHeight="1" s="26"/>
    <row r="24" ht="15.75" customHeight="1" s="26"/>
    <row r="25" ht="15.75" customHeight="1" s="26"/>
    <row r="26" ht="15.75" customHeight="1" s="26"/>
    <row r="27" ht="15.75" customHeight="1" s="26"/>
    <row r="28" ht="15.75" customHeight="1" s="26"/>
    <row r="29" ht="15.75" customHeight="1" s="26"/>
    <row r="30" ht="15.75" customHeight="1" s="26"/>
    <row r="31" ht="15.75" customHeight="1" s="26"/>
    <row r="32" ht="15.75" customHeight="1" s="26"/>
    <row r="33" ht="15.75" customHeight="1" s="26"/>
    <row r="34" ht="15.75" customHeight="1" s="26"/>
    <row r="35" ht="15.75" customHeight="1" s="26"/>
    <row r="36" ht="15.75" customHeight="1" s="26"/>
    <row r="37" ht="15.75" customHeight="1" s="26"/>
    <row r="38" ht="15.75" customHeight="1" s="26"/>
    <row r="39" ht="15.75" customHeight="1" s="26"/>
    <row r="40" ht="15.75" customHeight="1" s="26"/>
    <row r="41" ht="15.75" customHeight="1" s="26"/>
    <row r="42" ht="15.75" customHeight="1" s="26"/>
    <row r="43" ht="15.75" customHeight="1" s="26"/>
    <row r="44" ht="15.75" customHeight="1" s="26"/>
    <row r="45" ht="15.75" customHeight="1" s="26"/>
    <row r="46" ht="15.75" customHeight="1" s="26"/>
    <row r="47" ht="15.75" customHeight="1" s="26"/>
    <row r="48" ht="15.75" customHeight="1" s="26"/>
    <row r="49" ht="15.75" customHeight="1" s="26"/>
    <row r="50" ht="15.75" customHeight="1" s="26"/>
    <row r="51" ht="15.75" customHeight="1" s="26"/>
    <row r="52" ht="15.75" customHeight="1" s="26"/>
    <row r="53" ht="15.75" customHeight="1" s="26"/>
    <row r="54" ht="15.75" customHeight="1" s="26"/>
    <row r="55" ht="15.75" customHeight="1" s="26"/>
    <row r="56" ht="15.75" customHeight="1" s="26"/>
    <row r="57" ht="15.75" customHeight="1" s="26"/>
    <row r="58" ht="15.75" customHeight="1" s="26"/>
    <row r="59" ht="15.75" customHeight="1" s="26"/>
    <row r="60" ht="15.75" customHeight="1" s="26"/>
    <row r="61" ht="15.75" customHeight="1" s="26"/>
    <row r="62" ht="15.75" customHeight="1" s="26"/>
    <row r="63" ht="15.75" customHeight="1" s="26"/>
    <row r="64" ht="15.75" customHeight="1" s="26"/>
    <row r="65" ht="15.75" customHeight="1" s="26"/>
    <row r="66" ht="15.75" customHeight="1" s="26"/>
    <row r="67" ht="15.75" customHeight="1" s="26"/>
    <row r="68" ht="15.75" customHeight="1" s="26"/>
    <row r="69" ht="15.75" customHeight="1" s="26"/>
    <row r="70" ht="15.75" customHeight="1" s="26"/>
    <row r="71" ht="15.75" customHeight="1" s="26"/>
    <row r="72" ht="15.75" customHeight="1" s="26"/>
    <row r="73" ht="15.75" customHeight="1" s="26"/>
    <row r="74" ht="15.75" customHeight="1" s="26"/>
    <row r="75" ht="15.75" customHeight="1" s="26"/>
    <row r="76" ht="15.75" customHeight="1" s="26"/>
    <row r="77" ht="15.75" customHeight="1" s="26"/>
    <row r="78" ht="15.75" customHeight="1" s="26"/>
    <row r="79" ht="15.75" customHeight="1" s="26"/>
    <row r="80" ht="15.75" customHeight="1" s="26"/>
    <row r="81" ht="15.75" customHeight="1" s="26"/>
    <row r="82" ht="15.75" customHeight="1" s="26"/>
    <row r="83" ht="15.75" customHeight="1" s="26"/>
    <row r="84" ht="15.75" customHeight="1" s="26"/>
    <row r="85" ht="15.75" customHeight="1" s="26"/>
    <row r="86" ht="15.75" customHeight="1" s="26"/>
    <row r="87" ht="15.75" customHeight="1" s="26"/>
    <row r="88" ht="15.75" customHeight="1" s="26"/>
    <row r="89" ht="15.75" customHeight="1" s="26"/>
    <row r="90" ht="15.75" customHeight="1" s="26"/>
    <row r="91" ht="15.75" customHeight="1" s="26"/>
    <row r="92" ht="15.75" customHeight="1" s="26"/>
    <row r="93" ht="15.75" customHeight="1" s="26"/>
    <row r="94" ht="15.75" customHeight="1" s="26"/>
    <row r="95" ht="15.75" customHeight="1" s="26"/>
    <row r="96" ht="15.75" customHeight="1" s="26"/>
    <row r="97" ht="15.75" customHeight="1" s="26"/>
    <row r="98" ht="15.75" customHeight="1" s="26"/>
    <row r="99" ht="15.75" customHeight="1" s="26"/>
    <row r="100" ht="15.75" customHeight="1" s="26"/>
    <row r="101" ht="15.75" customHeight="1" s="26"/>
    <row r="102" ht="15.75" customHeight="1" s="26"/>
    <row r="103" ht="15.75" customHeight="1" s="26"/>
    <row r="104" ht="15.75" customHeight="1" s="26"/>
    <row r="105" ht="15.75" customHeight="1" s="26"/>
    <row r="106" ht="15.75" customHeight="1" s="26"/>
    <row r="107" ht="15.75" customHeight="1" s="26"/>
    <row r="108" ht="15.75" customHeight="1" s="26"/>
    <row r="109" ht="15.75" customHeight="1" s="26"/>
    <row r="110" ht="15.75" customHeight="1" s="26"/>
    <row r="111" ht="15.75" customHeight="1" s="26"/>
    <row r="112" ht="15.75" customHeight="1" s="26"/>
    <row r="113" ht="15.75" customHeight="1" s="26"/>
    <row r="114" ht="15.75" customHeight="1" s="26"/>
    <row r="115" ht="15.75" customHeight="1" s="26"/>
    <row r="116" ht="15.75" customHeight="1" s="26"/>
    <row r="117" ht="15.75" customHeight="1" s="26"/>
    <row r="118" ht="15.75" customHeight="1" s="26"/>
    <row r="119" ht="15.75" customHeight="1" s="26"/>
    <row r="120" ht="15.75" customHeight="1" s="26"/>
    <row r="121" ht="15.75" customHeight="1" s="26"/>
    <row r="122" ht="15.75" customHeight="1" s="26"/>
    <row r="123" ht="15.75" customHeight="1" s="26"/>
    <row r="124" ht="15.75" customHeight="1" s="26"/>
    <row r="125" ht="15.75" customHeight="1" s="26"/>
    <row r="126" ht="15.75" customHeight="1" s="26"/>
    <row r="127" ht="15.75" customHeight="1" s="26"/>
    <row r="128" ht="15.75" customHeight="1" s="26"/>
    <row r="129" ht="15.75" customHeight="1" s="26"/>
    <row r="130" ht="15.75" customHeight="1" s="26"/>
    <row r="131" ht="15.75" customHeight="1" s="26"/>
    <row r="132" ht="15.75" customHeight="1" s="26"/>
    <row r="133" ht="15.75" customHeight="1" s="26"/>
    <row r="134" ht="15.75" customHeight="1" s="26"/>
    <row r="135" ht="15.75" customHeight="1" s="26"/>
    <row r="136" ht="15.75" customHeight="1" s="26"/>
    <row r="137" ht="15.75" customHeight="1" s="26"/>
    <row r="138" ht="15.75" customHeight="1" s="26"/>
    <row r="139" ht="15.75" customHeight="1" s="26"/>
    <row r="140" ht="15.75" customHeight="1" s="26"/>
    <row r="141" ht="15.75" customHeight="1" s="26"/>
    <row r="142" ht="15.75" customHeight="1" s="26"/>
    <row r="143" ht="15.75" customHeight="1" s="26"/>
    <row r="144" ht="15.75" customHeight="1" s="26"/>
    <row r="145" ht="15.75" customHeight="1" s="26"/>
    <row r="146" ht="15.75" customHeight="1" s="26"/>
    <row r="147" ht="15.75" customHeight="1" s="26"/>
    <row r="148" ht="15.75" customHeight="1" s="26"/>
    <row r="149" ht="15.75" customHeight="1" s="26"/>
    <row r="150" ht="15.75" customHeight="1" s="26"/>
    <row r="151" ht="15.75" customHeight="1" s="26"/>
    <row r="152" ht="15.75" customHeight="1" s="26"/>
    <row r="153" ht="15.75" customHeight="1" s="26"/>
    <row r="154" ht="15.75" customHeight="1" s="26"/>
    <row r="155" ht="15.75" customHeight="1" s="26"/>
    <row r="156" ht="15.75" customHeight="1" s="26"/>
    <row r="157" ht="15.75" customHeight="1" s="26"/>
    <row r="158" ht="15.75" customHeight="1" s="26"/>
    <row r="159" ht="15.75" customHeight="1" s="26"/>
    <row r="160" ht="15.75" customHeight="1" s="26"/>
    <row r="161" ht="15.75" customHeight="1" s="26"/>
    <row r="162" ht="15.75" customHeight="1" s="26"/>
    <row r="163" ht="15.75" customHeight="1" s="26"/>
    <row r="164" ht="15.75" customHeight="1" s="26"/>
    <row r="165" ht="15.75" customHeight="1" s="26"/>
    <row r="166" ht="15.75" customHeight="1" s="26"/>
    <row r="167" ht="15.75" customHeight="1" s="26"/>
    <row r="168" ht="15.75" customHeight="1" s="26"/>
    <row r="169" ht="15.75" customHeight="1" s="26"/>
    <row r="170" ht="15.75" customHeight="1" s="26"/>
    <row r="171" ht="15.75" customHeight="1" s="26"/>
    <row r="172" ht="15.75" customHeight="1" s="26"/>
    <row r="173" ht="15.75" customHeight="1" s="26"/>
    <row r="174" ht="15.75" customHeight="1" s="26"/>
    <row r="175" ht="15.75" customHeight="1" s="26"/>
    <row r="176" ht="15.75" customHeight="1" s="26"/>
    <row r="177" ht="15.75" customHeight="1" s="26"/>
    <row r="178" ht="15.75" customHeight="1" s="26"/>
    <row r="179" ht="15.75" customHeight="1" s="26"/>
    <row r="180" ht="15.75" customHeight="1" s="26"/>
    <row r="181" ht="15.75" customHeight="1" s="26"/>
    <row r="182" ht="15.75" customHeight="1" s="26"/>
    <row r="183" ht="15.75" customHeight="1" s="26"/>
    <row r="184" ht="15.75" customHeight="1" s="26"/>
    <row r="185" ht="15.75" customHeight="1" s="26"/>
    <row r="186" ht="15.75" customHeight="1" s="26"/>
    <row r="187" ht="15.75" customHeight="1" s="26"/>
    <row r="188" ht="15.75" customHeight="1" s="26"/>
    <row r="189" ht="15.75" customHeight="1" s="26"/>
    <row r="190" ht="15.75" customHeight="1" s="26"/>
    <row r="191" ht="15.75" customHeight="1" s="26"/>
    <row r="192" ht="15.75" customHeight="1" s="26"/>
    <row r="193" ht="15.75" customHeight="1" s="26"/>
    <row r="194" ht="15.75" customHeight="1" s="26"/>
    <row r="195" ht="15.75" customHeight="1" s="26"/>
    <row r="196" ht="15.75" customHeight="1" s="26"/>
    <row r="197" ht="15.75" customHeight="1" s="26"/>
    <row r="198" ht="15.75" customHeight="1" s="26"/>
    <row r="199" ht="15.75" customHeight="1" s="26"/>
    <row r="200" ht="15.75" customHeight="1" s="26"/>
    <row r="201" ht="15.75" customHeight="1" s="26"/>
    <row r="202" ht="15.75" customHeight="1" s="26"/>
    <row r="203" ht="15.75" customHeight="1" s="26"/>
    <row r="204" ht="15.75" customHeight="1" s="26"/>
    <row r="205" ht="15.75" customHeight="1" s="26"/>
    <row r="206" ht="15.75" customHeight="1" s="26"/>
    <row r="207" ht="15.75" customHeight="1" s="26"/>
    <row r="208" ht="15.75" customHeight="1" s="26"/>
    <row r="209" ht="15.75" customHeight="1" s="26"/>
    <row r="210" ht="15.75" customHeight="1" s="26"/>
    <row r="211" ht="15.75" customHeight="1" s="26"/>
    <row r="212" ht="15.75" customHeight="1" s="26"/>
    <row r="213" ht="15.75" customHeight="1" s="26"/>
    <row r="214" ht="15.75" customHeight="1" s="26"/>
    <row r="215" ht="15.75" customHeight="1" s="26"/>
    <row r="216" ht="15.75" customHeight="1" s="26"/>
    <row r="217" ht="15.75" customHeight="1" s="26"/>
    <row r="218" ht="15.75" customHeight="1" s="26"/>
    <row r="219" ht="15.75" customHeight="1" s="26"/>
    <row r="220" ht="15.75" customHeight="1" s="26"/>
    <row r="221" ht="15.75" customHeight="1" s="26"/>
    <row r="222" ht="15.75" customHeight="1" s="26"/>
    <row r="223" ht="15.75" customHeight="1" s="26"/>
    <row r="224" ht="15.75" customHeight="1" s="26"/>
    <row r="225" ht="15.75" customHeight="1" s="26"/>
    <row r="226" ht="15.75" customHeight="1" s="26"/>
    <row r="227" ht="15.75" customHeight="1" s="26"/>
    <row r="228" ht="15.75" customHeight="1" s="26"/>
    <row r="229" ht="15.75" customHeight="1" s="26"/>
    <row r="230" ht="15.75" customHeight="1" s="26"/>
    <row r="231" ht="15.75" customHeight="1" s="26"/>
    <row r="232" ht="15.75" customHeight="1" s="26"/>
    <row r="233" ht="15.75" customHeight="1" s="26"/>
    <row r="234" ht="15.75" customHeight="1" s="26"/>
    <row r="235" ht="15.75" customHeight="1" s="26"/>
    <row r="236" ht="15.75" customHeight="1" s="26"/>
    <row r="237" ht="15.75" customHeight="1" s="26"/>
    <row r="238" ht="15.75" customHeight="1" s="26"/>
    <row r="239" ht="15.75" customHeight="1" s="26"/>
    <row r="240" ht="15.75" customHeight="1" s="26"/>
    <row r="241" ht="15.75" customHeight="1" s="26"/>
    <row r="242" ht="15.75" customHeight="1" s="26"/>
    <row r="243" ht="15.75" customHeight="1" s="26"/>
    <row r="244" ht="15.75" customHeight="1" s="26"/>
    <row r="245" ht="15.75" customHeight="1" s="26"/>
    <row r="246" ht="15.75" customHeight="1" s="26"/>
    <row r="247" ht="15.75" customHeight="1" s="26"/>
    <row r="248" ht="15.75" customHeight="1" s="26"/>
    <row r="249" ht="15.75" customHeight="1" s="26"/>
    <row r="250" ht="15.75" customHeight="1" s="26"/>
    <row r="251" ht="15.75" customHeight="1" s="26"/>
    <row r="252" ht="15.75" customHeight="1" s="26"/>
    <row r="253" ht="15.75" customHeight="1" s="26"/>
    <row r="254" ht="15.75" customHeight="1" s="26"/>
    <row r="255" ht="15.75" customHeight="1" s="26"/>
    <row r="256" ht="15.75" customHeight="1" s="26"/>
    <row r="257" ht="15.75" customHeight="1" s="26"/>
    <row r="258" ht="15.75" customHeight="1" s="26"/>
    <row r="259" ht="15.75" customHeight="1" s="26"/>
    <row r="260" ht="15.75" customHeight="1" s="26"/>
    <row r="261" ht="15.75" customHeight="1" s="26"/>
    <row r="262" ht="15.75" customHeight="1" s="26"/>
    <row r="263" ht="15.75" customHeight="1" s="26"/>
    <row r="264" ht="15.75" customHeight="1" s="26"/>
    <row r="265" ht="15.75" customHeight="1" s="26"/>
    <row r="266" ht="15.75" customHeight="1" s="26"/>
    <row r="267" ht="15.75" customHeight="1" s="26"/>
    <row r="268" ht="15.75" customHeight="1" s="26"/>
    <row r="269" ht="15.75" customHeight="1" s="26"/>
    <row r="270" ht="15.75" customHeight="1" s="26"/>
    <row r="271" ht="15.75" customHeight="1" s="26"/>
    <row r="272" ht="15.75" customHeight="1" s="26"/>
    <row r="273" ht="15.75" customHeight="1" s="26"/>
    <row r="274" ht="15.75" customHeight="1" s="26"/>
    <row r="275" ht="15.75" customHeight="1" s="26"/>
    <row r="276" ht="15.75" customHeight="1" s="26"/>
    <row r="277" ht="15.75" customHeight="1" s="26"/>
    <row r="278" ht="15.75" customHeight="1" s="26"/>
    <row r="279" ht="15.75" customHeight="1" s="26"/>
    <row r="280" ht="15.75" customHeight="1" s="26"/>
    <row r="281" ht="15.75" customHeight="1" s="26"/>
    <row r="282" ht="15.75" customHeight="1" s="26"/>
    <row r="283" ht="15.75" customHeight="1" s="26"/>
    <row r="284" ht="15.75" customHeight="1" s="26"/>
    <row r="285" ht="15.75" customHeight="1" s="26"/>
    <row r="286" ht="15.75" customHeight="1" s="26"/>
    <row r="287" ht="15.75" customHeight="1" s="26"/>
    <row r="288" ht="15.75" customHeight="1" s="26"/>
    <row r="289" ht="15.75" customHeight="1" s="26"/>
    <row r="290" ht="15.75" customHeight="1" s="26"/>
    <row r="291" ht="15.75" customHeight="1" s="26"/>
    <row r="292" ht="15.75" customHeight="1" s="26"/>
    <row r="293" ht="15.75" customHeight="1" s="26"/>
    <row r="294" ht="15.75" customHeight="1" s="26"/>
    <row r="295" ht="15.75" customHeight="1" s="26"/>
    <row r="296" ht="15.75" customHeight="1" s="26"/>
    <row r="297" ht="15.75" customHeight="1" s="26"/>
    <row r="298" ht="15.75" customHeight="1" s="26"/>
    <row r="299" ht="15.75" customHeight="1" s="26"/>
    <row r="300" ht="15.75" customHeight="1" s="26"/>
    <row r="301" ht="15.75" customHeight="1" s="26"/>
    <row r="302" ht="15.75" customHeight="1" s="26"/>
    <row r="303" ht="15.75" customHeight="1" s="26"/>
    <row r="304" ht="15.75" customHeight="1" s="26"/>
    <row r="305" ht="15.75" customHeight="1" s="26"/>
    <row r="306" ht="15.75" customHeight="1" s="26"/>
    <row r="307" ht="15.75" customHeight="1" s="26"/>
    <row r="308" ht="15.75" customHeight="1" s="26"/>
    <row r="309" ht="15.75" customHeight="1" s="26"/>
    <row r="310" ht="15.75" customHeight="1" s="26"/>
    <row r="311" ht="15.75" customHeight="1" s="26"/>
    <row r="312" ht="15.75" customHeight="1" s="26"/>
    <row r="313" ht="15.75" customHeight="1" s="26"/>
    <row r="314" ht="15.75" customHeight="1" s="26"/>
    <row r="315" ht="15.75" customHeight="1" s="26"/>
    <row r="316" ht="15.75" customHeight="1" s="26"/>
    <row r="317" ht="15.75" customHeight="1" s="26"/>
    <row r="318" ht="15.75" customHeight="1" s="26"/>
    <row r="319" ht="15.75" customHeight="1" s="26"/>
    <row r="320" ht="15.75" customHeight="1" s="26"/>
    <row r="321" ht="15.75" customHeight="1" s="26"/>
    <row r="322" ht="15.75" customHeight="1" s="26"/>
    <row r="323" ht="15.75" customHeight="1" s="26"/>
    <row r="324" ht="15.75" customHeight="1" s="26"/>
    <row r="325" ht="15.75" customHeight="1" s="26"/>
    <row r="326" ht="15.75" customHeight="1" s="26"/>
    <row r="327" ht="15.75" customHeight="1" s="26"/>
    <row r="328" ht="15.75" customHeight="1" s="26"/>
    <row r="329" ht="15.75" customHeight="1" s="26"/>
    <row r="330" ht="15.75" customHeight="1" s="26"/>
    <row r="331" ht="15.75" customHeight="1" s="26"/>
    <row r="332" ht="15.75" customHeight="1" s="26"/>
    <row r="333" ht="15.75" customHeight="1" s="26"/>
    <row r="334" ht="15.75" customHeight="1" s="26"/>
    <row r="335" ht="15.75" customHeight="1" s="26"/>
    <row r="336" ht="15.75" customHeight="1" s="26"/>
    <row r="337" ht="15.75" customHeight="1" s="26"/>
    <row r="338" ht="15.75" customHeight="1" s="26"/>
    <row r="339" ht="15.75" customHeight="1" s="26"/>
    <row r="340" ht="15.75" customHeight="1" s="26"/>
    <row r="341" ht="15.75" customHeight="1" s="26"/>
    <row r="342" ht="15.75" customHeight="1" s="26"/>
    <row r="343" ht="15.75" customHeight="1" s="26"/>
    <row r="344" ht="15.75" customHeight="1" s="26"/>
    <row r="345" ht="15.75" customHeight="1" s="26"/>
    <row r="346" ht="15.75" customHeight="1" s="26"/>
    <row r="347" ht="15.75" customHeight="1" s="26"/>
    <row r="348" ht="15.75" customHeight="1" s="26"/>
    <row r="349" ht="15.75" customHeight="1" s="26"/>
    <row r="350" ht="15.75" customHeight="1" s="26"/>
    <row r="351" ht="15.75" customHeight="1" s="26"/>
    <row r="352" ht="15.75" customHeight="1" s="26"/>
    <row r="353" ht="15.75" customHeight="1" s="26"/>
    <row r="354" ht="15.75" customHeight="1" s="26"/>
    <row r="355" ht="15.75" customHeight="1" s="26"/>
    <row r="356" ht="15.75" customHeight="1" s="26"/>
    <row r="357" ht="15.75" customHeight="1" s="26"/>
    <row r="358" ht="15.75" customHeight="1" s="26"/>
    <row r="359" ht="15.75" customHeight="1" s="26"/>
    <row r="360" ht="15.75" customHeight="1" s="26"/>
    <row r="361" ht="15.75" customHeight="1" s="26"/>
    <row r="362" ht="15.75" customHeight="1" s="26"/>
    <row r="363" ht="15.75" customHeight="1" s="26"/>
    <row r="364" ht="15.75" customHeight="1" s="26"/>
    <row r="365" ht="15.75" customHeight="1" s="26"/>
    <row r="366" ht="15.75" customHeight="1" s="26"/>
    <row r="367" ht="15.75" customHeight="1" s="26"/>
    <row r="368" ht="15.75" customHeight="1" s="26"/>
    <row r="369" ht="15.75" customHeight="1" s="26"/>
    <row r="370" ht="15.75" customHeight="1" s="26"/>
    <row r="371" ht="15.75" customHeight="1" s="26"/>
    <row r="372" ht="15.75" customHeight="1" s="26"/>
    <row r="373" ht="15.75" customHeight="1" s="26"/>
    <row r="374" ht="15.75" customHeight="1" s="26"/>
    <row r="375" ht="15.75" customHeight="1" s="26"/>
    <row r="376" ht="15.75" customHeight="1" s="26"/>
    <row r="377" ht="15.75" customHeight="1" s="26"/>
    <row r="378" ht="15.75" customHeight="1" s="26"/>
    <row r="379" ht="15.75" customHeight="1" s="26"/>
    <row r="380" ht="15.75" customHeight="1" s="26"/>
    <row r="381" ht="15.75" customHeight="1" s="26"/>
    <row r="382" ht="15.75" customHeight="1" s="26"/>
    <row r="383" ht="15.75" customHeight="1" s="26"/>
    <row r="384" ht="15.75" customHeight="1" s="26"/>
    <row r="385" ht="15.75" customHeight="1" s="26"/>
    <row r="386" ht="15.75" customHeight="1" s="26"/>
    <row r="387" ht="15.75" customHeight="1" s="26"/>
    <row r="388" ht="15.75" customHeight="1" s="26"/>
    <row r="389" ht="15.75" customHeight="1" s="26"/>
    <row r="390" ht="15.75" customHeight="1" s="26"/>
    <row r="391" ht="15.75" customHeight="1" s="26"/>
    <row r="392" ht="15.75" customHeight="1" s="26"/>
    <row r="393" ht="15.75" customHeight="1" s="26"/>
    <row r="394" ht="15.75" customHeight="1" s="26"/>
    <row r="395" ht="15.75" customHeight="1" s="26"/>
    <row r="396" ht="15.75" customHeight="1" s="26"/>
    <row r="397" ht="15.75" customHeight="1" s="26"/>
    <row r="398" ht="15.75" customHeight="1" s="26"/>
    <row r="399" ht="15.75" customHeight="1" s="26"/>
    <row r="400" ht="15.75" customHeight="1" s="26"/>
    <row r="401" ht="15.75" customHeight="1" s="26"/>
    <row r="402" ht="15.75" customHeight="1" s="26"/>
    <row r="403" ht="15.75" customHeight="1" s="26"/>
    <row r="404" ht="15.75" customHeight="1" s="26"/>
    <row r="405" ht="15.75" customHeight="1" s="26"/>
    <row r="406" ht="15.75" customHeight="1" s="26"/>
    <row r="407" ht="15.75" customHeight="1" s="26"/>
    <row r="408" ht="15.75" customHeight="1" s="26"/>
    <row r="409" ht="15.75" customHeight="1" s="26"/>
    <row r="410" ht="15.75" customHeight="1" s="26"/>
    <row r="411" ht="15.75" customHeight="1" s="26"/>
    <row r="412" ht="15.75" customHeight="1" s="26"/>
    <row r="413" ht="15.75" customHeight="1" s="26"/>
    <row r="414" ht="15.75" customHeight="1" s="26"/>
    <row r="415" ht="15.75" customHeight="1" s="26"/>
    <row r="416" ht="15.75" customHeight="1" s="26"/>
    <row r="417" ht="15.75" customHeight="1" s="26"/>
    <row r="418" ht="15.75" customHeight="1" s="26"/>
    <row r="419" ht="15.75" customHeight="1" s="26"/>
    <row r="420" ht="15.75" customHeight="1" s="26"/>
    <row r="421" ht="15.75" customHeight="1" s="26"/>
    <row r="422" ht="15.75" customHeight="1" s="26"/>
    <row r="423" ht="15.75" customHeight="1" s="26"/>
    <row r="424" ht="15.75" customHeight="1" s="26"/>
    <row r="425" ht="15.75" customHeight="1" s="26"/>
    <row r="426" ht="15.75" customHeight="1" s="26"/>
    <row r="427" ht="15.75" customHeight="1" s="26"/>
    <row r="428" ht="15.75" customHeight="1" s="26"/>
    <row r="429" ht="15.75" customHeight="1" s="26"/>
    <row r="430" ht="15.75" customHeight="1" s="26"/>
    <row r="431" ht="15.75" customHeight="1" s="26"/>
    <row r="432" ht="15.75" customHeight="1" s="26"/>
    <row r="433" ht="15.75" customHeight="1" s="26"/>
    <row r="434" ht="15.75" customHeight="1" s="26"/>
    <row r="435" ht="15.75" customHeight="1" s="26"/>
    <row r="436" ht="15.75" customHeight="1" s="26"/>
    <row r="437" ht="15.75" customHeight="1" s="26"/>
    <row r="438" ht="15.75" customHeight="1" s="26"/>
    <row r="439" ht="15.75" customHeight="1" s="26"/>
    <row r="440" ht="15.75" customHeight="1" s="26"/>
    <row r="441" ht="15.75" customHeight="1" s="26"/>
    <row r="442" ht="15.75" customHeight="1" s="26"/>
    <row r="443" ht="15.75" customHeight="1" s="26"/>
    <row r="444" ht="15.75" customHeight="1" s="26"/>
    <row r="445" ht="15.75" customHeight="1" s="26"/>
    <row r="446" ht="15.75" customHeight="1" s="26"/>
    <row r="447" ht="15.75" customHeight="1" s="26"/>
    <row r="448" ht="15.75" customHeight="1" s="26"/>
    <row r="449" ht="15.75" customHeight="1" s="26"/>
    <row r="450" ht="15.75" customHeight="1" s="26"/>
    <row r="451" ht="15.75" customHeight="1" s="26"/>
    <row r="452" ht="15.75" customHeight="1" s="26"/>
    <row r="453" ht="15.75" customHeight="1" s="26"/>
    <row r="454" ht="15.75" customHeight="1" s="26"/>
    <row r="455" ht="15.75" customHeight="1" s="26"/>
    <row r="456" ht="15.75" customHeight="1" s="26"/>
    <row r="457" ht="15.75" customHeight="1" s="26"/>
    <row r="458" ht="15.75" customHeight="1" s="26"/>
    <row r="459" ht="15.75" customHeight="1" s="26"/>
    <row r="460" ht="15.75" customHeight="1" s="26"/>
    <row r="461" ht="15.75" customHeight="1" s="26"/>
    <row r="462" ht="15.75" customHeight="1" s="26"/>
    <row r="463" ht="15.75" customHeight="1" s="26"/>
    <row r="464" ht="15.75" customHeight="1" s="26"/>
    <row r="465" ht="15.75" customHeight="1" s="26"/>
    <row r="466" ht="15.75" customHeight="1" s="26"/>
    <row r="467" ht="15.75" customHeight="1" s="26"/>
    <row r="468" ht="15.75" customHeight="1" s="26"/>
    <row r="469" ht="15.75" customHeight="1" s="26"/>
    <row r="470" ht="15.75" customHeight="1" s="26"/>
    <row r="471" ht="15.75" customHeight="1" s="26"/>
    <row r="472" ht="15.75" customHeight="1" s="26"/>
    <row r="473" ht="15.75" customHeight="1" s="26"/>
    <row r="474" ht="15.75" customHeight="1" s="26"/>
    <row r="475" ht="15.75" customHeight="1" s="26"/>
    <row r="476" ht="15.75" customHeight="1" s="26"/>
    <row r="477" ht="15.75" customHeight="1" s="26"/>
    <row r="478" ht="15.75" customHeight="1" s="26"/>
    <row r="479" ht="15.75" customHeight="1" s="26"/>
    <row r="480" ht="15.75" customHeight="1" s="26"/>
    <row r="481" ht="15.75" customHeight="1" s="26"/>
    <row r="482" ht="15.75" customHeight="1" s="26"/>
    <row r="483" ht="15.75" customHeight="1" s="26"/>
    <row r="484" ht="15.75" customHeight="1" s="26"/>
    <row r="485" ht="15.75" customHeight="1" s="26"/>
    <row r="486" ht="15.75" customHeight="1" s="26"/>
    <row r="487" ht="15.75" customHeight="1" s="26"/>
    <row r="488" ht="15.75" customHeight="1" s="26"/>
    <row r="489" ht="15.75" customHeight="1" s="26"/>
    <row r="490" ht="15.75" customHeight="1" s="26"/>
    <row r="491" ht="15.75" customHeight="1" s="26"/>
    <row r="492" ht="15.75" customHeight="1" s="26"/>
    <row r="493" ht="15.75" customHeight="1" s="26"/>
    <row r="494" ht="15.75" customHeight="1" s="26"/>
    <row r="495" ht="15.75" customHeight="1" s="26"/>
    <row r="496" ht="15.75" customHeight="1" s="26"/>
    <row r="497" ht="15.75" customHeight="1" s="26"/>
    <row r="498" ht="15.75" customHeight="1" s="26"/>
    <row r="499" ht="15.75" customHeight="1" s="26"/>
    <row r="500" ht="15.75" customHeight="1" s="26"/>
    <row r="501" ht="15.75" customHeight="1" s="26"/>
    <row r="502" ht="15.75" customHeight="1" s="26"/>
    <row r="503" ht="15.75" customHeight="1" s="26"/>
    <row r="504" ht="15.75" customHeight="1" s="26"/>
    <row r="505" ht="15.75" customHeight="1" s="26"/>
    <row r="506" ht="15.75" customHeight="1" s="26"/>
    <row r="507" ht="15.75" customHeight="1" s="26"/>
    <row r="508" ht="15.75" customHeight="1" s="26"/>
    <row r="509" ht="15.75" customHeight="1" s="26"/>
    <row r="510" ht="15.75" customHeight="1" s="26"/>
    <row r="511" ht="15.75" customHeight="1" s="26"/>
    <row r="512" ht="15.75" customHeight="1" s="26"/>
    <row r="513" ht="15.75" customHeight="1" s="26"/>
    <row r="514" ht="15.75" customHeight="1" s="26"/>
    <row r="515" ht="15.75" customHeight="1" s="26"/>
    <row r="516" ht="15.75" customHeight="1" s="26"/>
    <row r="517" ht="15.75" customHeight="1" s="26"/>
    <row r="518" ht="15.75" customHeight="1" s="26"/>
    <row r="519" ht="15.75" customHeight="1" s="26"/>
    <row r="520" ht="15.75" customHeight="1" s="26"/>
    <row r="521" ht="15.75" customHeight="1" s="26"/>
    <row r="522" ht="15.75" customHeight="1" s="26"/>
    <row r="523" ht="15.75" customHeight="1" s="26"/>
    <row r="524" ht="15.75" customHeight="1" s="26"/>
    <row r="525" ht="15.75" customHeight="1" s="26"/>
    <row r="526" ht="15.75" customHeight="1" s="26"/>
    <row r="527" ht="15.75" customHeight="1" s="26"/>
    <row r="528" ht="15.75" customHeight="1" s="26"/>
    <row r="529" ht="15.75" customHeight="1" s="26"/>
    <row r="530" ht="15.75" customHeight="1" s="26"/>
    <row r="531" ht="15.75" customHeight="1" s="26"/>
    <row r="532" ht="15.75" customHeight="1" s="26"/>
    <row r="533" ht="15.75" customHeight="1" s="26"/>
    <row r="534" ht="15.75" customHeight="1" s="26"/>
    <row r="535" ht="15.75" customHeight="1" s="26"/>
    <row r="536" ht="15.75" customHeight="1" s="26"/>
    <row r="537" ht="15.75" customHeight="1" s="26"/>
    <row r="538" ht="15.75" customHeight="1" s="26"/>
    <row r="539" ht="15.75" customHeight="1" s="26"/>
    <row r="540" ht="15.75" customHeight="1" s="26"/>
    <row r="541" ht="15.75" customHeight="1" s="26"/>
    <row r="542" ht="15.75" customHeight="1" s="26"/>
    <row r="543" ht="15.75" customHeight="1" s="26"/>
    <row r="544" ht="15.75" customHeight="1" s="26"/>
    <row r="545" ht="15.75" customHeight="1" s="26"/>
    <row r="546" ht="15.75" customHeight="1" s="26"/>
    <row r="547" ht="15.75" customHeight="1" s="26"/>
    <row r="548" ht="15.75" customHeight="1" s="26"/>
    <row r="549" ht="15.75" customHeight="1" s="26"/>
    <row r="550" ht="15.75" customHeight="1" s="26"/>
    <row r="551" ht="15.75" customHeight="1" s="26"/>
    <row r="552" ht="15.75" customHeight="1" s="26"/>
    <row r="553" ht="15.75" customHeight="1" s="26"/>
    <row r="554" ht="15.75" customHeight="1" s="26"/>
    <row r="555" ht="15.75" customHeight="1" s="26"/>
    <row r="556" ht="15.75" customHeight="1" s="26"/>
    <row r="557" ht="15.75" customHeight="1" s="26"/>
    <row r="558" ht="15.75" customHeight="1" s="26"/>
    <row r="559" ht="15.75" customHeight="1" s="26"/>
    <row r="560" ht="15.75" customHeight="1" s="26"/>
    <row r="561" ht="15.75" customHeight="1" s="26"/>
    <row r="562" ht="15.75" customHeight="1" s="26"/>
    <row r="563" ht="15.75" customHeight="1" s="26"/>
    <row r="564" ht="15.75" customHeight="1" s="26"/>
    <row r="565" ht="15.75" customHeight="1" s="26"/>
    <row r="566" ht="15.75" customHeight="1" s="26"/>
    <row r="567" ht="15.75" customHeight="1" s="26"/>
    <row r="568" ht="15.75" customHeight="1" s="26"/>
    <row r="569" ht="15.75" customHeight="1" s="26"/>
    <row r="570" ht="15.75" customHeight="1" s="26"/>
    <row r="571" ht="15.75" customHeight="1" s="26"/>
    <row r="572" ht="15.75" customHeight="1" s="26"/>
    <row r="573" ht="15.75" customHeight="1" s="26"/>
    <row r="574" ht="15.75" customHeight="1" s="26"/>
    <row r="575" ht="15.75" customHeight="1" s="26"/>
    <row r="576" ht="15.75" customHeight="1" s="26"/>
    <row r="577" ht="15.75" customHeight="1" s="26"/>
    <row r="578" ht="15.75" customHeight="1" s="26"/>
    <row r="579" ht="15.75" customHeight="1" s="26"/>
    <row r="580" ht="15.75" customHeight="1" s="26"/>
    <row r="581" ht="15.75" customHeight="1" s="26"/>
    <row r="582" ht="15.75" customHeight="1" s="26"/>
    <row r="583" ht="15.75" customHeight="1" s="26"/>
    <row r="584" ht="15.75" customHeight="1" s="26"/>
    <row r="585" ht="15.75" customHeight="1" s="26"/>
    <row r="586" ht="15.75" customHeight="1" s="26"/>
    <row r="587" ht="15.75" customHeight="1" s="26"/>
    <row r="588" ht="15.75" customHeight="1" s="26"/>
    <row r="589" ht="15.75" customHeight="1" s="26"/>
    <row r="590" ht="15.75" customHeight="1" s="26"/>
    <row r="591" ht="15.75" customHeight="1" s="26"/>
    <row r="592" ht="15.75" customHeight="1" s="26"/>
    <row r="593" ht="15.75" customHeight="1" s="26"/>
    <row r="594" ht="15.75" customHeight="1" s="26"/>
    <row r="595" ht="15.75" customHeight="1" s="26"/>
    <row r="596" ht="15.75" customHeight="1" s="26"/>
    <row r="597" ht="15.75" customHeight="1" s="26"/>
    <row r="598" ht="15.75" customHeight="1" s="26"/>
    <row r="599" ht="15.75" customHeight="1" s="26"/>
    <row r="600" ht="15.75" customHeight="1" s="26"/>
    <row r="601" ht="15.75" customHeight="1" s="26"/>
    <row r="602" ht="15.75" customHeight="1" s="26"/>
    <row r="603" ht="15.75" customHeight="1" s="26"/>
    <row r="604" ht="15.75" customHeight="1" s="26"/>
    <row r="605" ht="15.75" customHeight="1" s="26"/>
    <row r="606" ht="15.75" customHeight="1" s="26"/>
    <row r="607" ht="15.75" customHeight="1" s="26"/>
    <row r="608" ht="15.75" customHeight="1" s="26"/>
    <row r="609" ht="15.75" customHeight="1" s="26"/>
    <row r="610" ht="15.75" customHeight="1" s="26"/>
    <row r="611" ht="15.75" customHeight="1" s="26"/>
    <row r="612" ht="15.75" customHeight="1" s="26"/>
    <row r="613" ht="15.75" customHeight="1" s="26"/>
    <row r="614" ht="15.75" customHeight="1" s="26"/>
    <row r="615" ht="15.75" customHeight="1" s="26"/>
    <row r="616" ht="15.75" customHeight="1" s="26"/>
    <row r="617" ht="15.75" customHeight="1" s="26"/>
    <row r="618" ht="15.75" customHeight="1" s="26"/>
    <row r="619" ht="15.75" customHeight="1" s="26"/>
    <row r="620" ht="15.75" customHeight="1" s="26"/>
    <row r="621" ht="15.75" customHeight="1" s="26"/>
    <row r="622" ht="15.75" customHeight="1" s="26"/>
    <row r="623" ht="15.75" customHeight="1" s="26"/>
    <row r="624" ht="15.75" customHeight="1" s="26"/>
    <row r="625" ht="15.75" customHeight="1" s="26"/>
    <row r="626" ht="15.75" customHeight="1" s="26"/>
    <row r="627" ht="15.75" customHeight="1" s="26"/>
    <row r="628" ht="15.75" customHeight="1" s="26"/>
    <row r="629" ht="15.75" customHeight="1" s="26"/>
    <row r="630" ht="15.75" customHeight="1" s="26"/>
    <row r="631" ht="15.75" customHeight="1" s="26"/>
    <row r="632" ht="15.75" customHeight="1" s="26"/>
    <row r="633" ht="15.75" customHeight="1" s="26"/>
    <row r="634" ht="15.75" customHeight="1" s="26"/>
    <row r="635" ht="15.75" customHeight="1" s="26"/>
    <row r="636" ht="15.75" customHeight="1" s="26"/>
    <row r="637" ht="15.75" customHeight="1" s="26"/>
    <row r="638" ht="15.75" customHeight="1" s="26"/>
    <row r="639" ht="15.75" customHeight="1" s="26"/>
    <row r="640" ht="15.75" customHeight="1" s="26"/>
    <row r="641" ht="15.75" customHeight="1" s="26"/>
    <row r="642" ht="15.75" customHeight="1" s="26"/>
    <row r="643" ht="15.75" customHeight="1" s="26"/>
    <row r="644" ht="15.75" customHeight="1" s="26"/>
    <row r="645" ht="15.75" customHeight="1" s="26"/>
    <row r="646" ht="15.75" customHeight="1" s="26"/>
    <row r="647" ht="15.75" customHeight="1" s="26"/>
    <row r="648" ht="15.75" customHeight="1" s="26"/>
    <row r="649" ht="15.75" customHeight="1" s="26"/>
    <row r="650" ht="15.75" customHeight="1" s="26"/>
    <row r="651" ht="15.75" customHeight="1" s="26"/>
    <row r="652" ht="15.75" customHeight="1" s="26"/>
    <row r="653" ht="15.75" customHeight="1" s="26"/>
    <row r="654" ht="15.75" customHeight="1" s="26"/>
    <row r="655" ht="15.75" customHeight="1" s="26"/>
    <row r="656" ht="15.75" customHeight="1" s="26"/>
    <row r="657" ht="15.75" customHeight="1" s="26"/>
    <row r="658" ht="15.75" customHeight="1" s="26"/>
    <row r="659" ht="15.75" customHeight="1" s="26"/>
    <row r="660" ht="15.75" customHeight="1" s="26"/>
    <row r="661" ht="15.75" customHeight="1" s="26"/>
    <row r="662" ht="15.75" customHeight="1" s="26"/>
    <row r="663" ht="15.75" customHeight="1" s="26"/>
    <row r="664" ht="15.75" customHeight="1" s="26"/>
    <row r="665" ht="15.75" customHeight="1" s="26"/>
    <row r="666" ht="15.75" customHeight="1" s="26"/>
    <row r="667" ht="15.75" customHeight="1" s="26"/>
    <row r="668" ht="15.75" customHeight="1" s="26"/>
    <row r="669" ht="15.75" customHeight="1" s="26"/>
    <row r="670" ht="15.75" customHeight="1" s="26"/>
    <row r="671" ht="15.75" customHeight="1" s="26"/>
    <row r="672" ht="15.75" customHeight="1" s="26"/>
    <row r="673" ht="15.75" customHeight="1" s="26"/>
    <row r="674" ht="15.75" customHeight="1" s="26"/>
    <row r="675" ht="15.75" customHeight="1" s="26"/>
    <row r="676" ht="15.75" customHeight="1" s="26"/>
    <row r="677" ht="15.75" customHeight="1" s="26"/>
    <row r="678" ht="15.75" customHeight="1" s="26"/>
    <row r="679" ht="15.75" customHeight="1" s="26"/>
    <row r="680" ht="15.75" customHeight="1" s="26"/>
    <row r="681" ht="15.75" customHeight="1" s="26"/>
    <row r="682" ht="15.75" customHeight="1" s="26"/>
    <row r="683" ht="15.75" customHeight="1" s="26"/>
    <row r="684" ht="15.75" customHeight="1" s="26"/>
    <row r="685" ht="15.75" customHeight="1" s="26"/>
    <row r="686" ht="15.75" customHeight="1" s="26"/>
    <row r="687" ht="15.75" customHeight="1" s="26"/>
    <row r="688" ht="15.75" customHeight="1" s="26"/>
    <row r="689" ht="15.75" customHeight="1" s="26"/>
    <row r="690" ht="15.75" customHeight="1" s="26"/>
    <row r="691" ht="15.75" customHeight="1" s="26"/>
    <row r="692" ht="15.75" customHeight="1" s="26"/>
    <row r="693" ht="15.75" customHeight="1" s="26"/>
    <row r="694" ht="15.75" customHeight="1" s="26"/>
    <row r="695" ht="15.75" customHeight="1" s="26"/>
    <row r="696" ht="15.75" customHeight="1" s="26"/>
    <row r="697" ht="15.75" customHeight="1" s="26"/>
    <row r="698" ht="15.75" customHeight="1" s="26"/>
    <row r="699" ht="15.75" customHeight="1" s="26"/>
    <row r="700" ht="15.75" customHeight="1" s="26"/>
    <row r="701" ht="15.75" customHeight="1" s="26"/>
    <row r="702" ht="15.75" customHeight="1" s="26"/>
    <row r="703" ht="15.75" customHeight="1" s="26"/>
    <row r="704" ht="15.75" customHeight="1" s="26"/>
    <row r="705" ht="15.75" customHeight="1" s="26"/>
    <row r="706" ht="15.75" customHeight="1" s="26"/>
    <row r="707" ht="15.75" customHeight="1" s="26"/>
    <row r="708" ht="15.75" customHeight="1" s="26"/>
    <row r="709" ht="15.75" customHeight="1" s="26"/>
    <row r="710" ht="15.75" customHeight="1" s="26"/>
    <row r="711" ht="15.75" customHeight="1" s="26"/>
    <row r="712" ht="15.75" customHeight="1" s="26"/>
    <row r="713" ht="15.75" customHeight="1" s="26"/>
    <row r="714" ht="15.75" customHeight="1" s="26"/>
    <row r="715" ht="15.75" customHeight="1" s="26"/>
    <row r="716" ht="15.75" customHeight="1" s="26"/>
    <row r="717" ht="15.75" customHeight="1" s="26"/>
    <row r="718" ht="15.75" customHeight="1" s="26"/>
    <row r="719" ht="15.75" customHeight="1" s="26"/>
    <row r="720" ht="15.75" customHeight="1" s="26"/>
    <row r="721" ht="15.75" customHeight="1" s="26"/>
    <row r="722" ht="15.75" customHeight="1" s="26"/>
    <row r="723" ht="15.75" customHeight="1" s="26"/>
    <row r="724" ht="15.75" customHeight="1" s="26"/>
    <row r="725" ht="15.75" customHeight="1" s="26"/>
    <row r="726" ht="15.75" customHeight="1" s="26"/>
    <row r="727" ht="15.75" customHeight="1" s="26"/>
    <row r="728" ht="15.75" customHeight="1" s="26"/>
    <row r="729" ht="15.75" customHeight="1" s="26"/>
    <row r="730" ht="15.75" customHeight="1" s="26"/>
    <row r="731" ht="15.75" customHeight="1" s="26"/>
    <row r="732" ht="15.75" customHeight="1" s="26"/>
    <row r="733" ht="15.75" customHeight="1" s="26"/>
    <row r="734" ht="15.75" customHeight="1" s="26"/>
    <row r="735" ht="15.75" customHeight="1" s="26"/>
    <row r="736" ht="15.75" customHeight="1" s="26"/>
    <row r="737" ht="15.75" customHeight="1" s="26"/>
    <row r="738" ht="15.75" customHeight="1" s="26"/>
    <row r="739" ht="15.75" customHeight="1" s="26"/>
    <row r="740" ht="15.75" customHeight="1" s="26"/>
    <row r="741" ht="15.75" customHeight="1" s="26"/>
    <row r="742" ht="15.75" customHeight="1" s="26"/>
    <row r="743" ht="15.75" customHeight="1" s="26"/>
    <row r="744" ht="15.75" customHeight="1" s="26"/>
    <row r="745" ht="15.75" customHeight="1" s="26"/>
    <row r="746" ht="15.75" customHeight="1" s="26"/>
    <row r="747" ht="15.75" customHeight="1" s="26"/>
    <row r="748" ht="15.75" customHeight="1" s="26"/>
    <row r="749" ht="15.75" customHeight="1" s="26"/>
    <row r="750" ht="15.75" customHeight="1" s="26"/>
    <row r="751" ht="15.75" customHeight="1" s="26"/>
    <row r="752" ht="15.75" customHeight="1" s="26"/>
    <row r="753" ht="15.75" customHeight="1" s="26"/>
    <row r="754" ht="15.75" customHeight="1" s="26"/>
    <row r="755" ht="15.75" customHeight="1" s="26"/>
    <row r="756" ht="15.75" customHeight="1" s="26"/>
    <row r="757" ht="15.75" customHeight="1" s="26"/>
    <row r="758" ht="15.75" customHeight="1" s="26"/>
    <row r="759" ht="15.75" customHeight="1" s="26"/>
    <row r="760" ht="15.75" customHeight="1" s="26"/>
    <row r="761" ht="15.75" customHeight="1" s="26"/>
    <row r="762" ht="15.75" customHeight="1" s="26"/>
    <row r="763" ht="15.75" customHeight="1" s="26"/>
    <row r="764" ht="15.75" customHeight="1" s="26"/>
    <row r="765" ht="15.75" customHeight="1" s="26"/>
    <row r="766" ht="15.75" customHeight="1" s="26"/>
    <row r="767" ht="15.75" customHeight="1" s="26"/>
    <row r="768" ht="15.75" customHeight="1" s="26"/>
    <row r="769" ht="15.75" customHeight="1" s="26"/>
    <row r="770" ht="15.75" customHeight="1" s="26"/>
    <row r="771" ht="15.75" customHeight="1" s="26"/>
    <row r="772" ht="15.75" customHeight="1" s="26"/>
    <row r="773" ht="15.75" customHeight="1" s="26"/>
    <row r="774" ht="15.75" customHeight="1" s="26"/>
    <row r="775" ht="15.75" customHeight="1" s="26"/>
    <row r="776" ht="15.75" customHeight="1" s="26"/>
    <row r="777" ht="15.75" customHeight="1" s="26"/>
    <row r="778" ht="15.75" customHeight="1" s="26"/>
    <row r="779" ht="15.75" customHeight="1" s="26"/>
    <row r="780" ht="15.75" customHeight="1" s="26"/>
    <row r="781" ht="15.75" customHeight="1" s="26"/>
    <row r="782" ht="15.75" customHeight="1" s="26"/>
    <row r="783" ht="15.75" customHeight="1" s="26"/>
    <row r="784" ht="15.75" customHeight="1" s="26"/>
    <row r="785" ht="15.75" customHeight="1" s="26"/>
    <row r="786" ht="15.75" customHeight="1" s="26"/>
    <row r="787" ht="15.75" customHeight="1" s="26"/>
    <row r="788" ht="15.75" customHeight="1" s="26"/>
    <row r="789" ht="15.75" customHeight="1" s="26"/>
    <row r="790" ht="15.75" customHeight="1" s="26"/>
    <row r="791" ht="15.75" customHeight="1" s="26"/>
    <row r="792" ht="15.75" customHeight="1" s="26"/>
    <row r="793" ht="15.75" customHeight="1" s="26"/>
    <row r="794" ht="15.75" customHeight="1" s="26"/>
    <row r="795" ht="15.75" customHeight="1" s="26"/>
    <row r="796" ht="15.75" customHeight="1" s="26"/>
    <row r="797" ht="15.75" customHeight="1" s="26"/>
    <row r="798" ht="15.75" customHeight="1" s="26"/>
    <row r="799" ht="15.75" customHeight="1" s="26"/>
    <row r="800" ht="15.75" customHeight="1" s="26"/>
    <row r="801" ht="15.75" customHeight="1" s="26"/>
    <row r="802" ht="15.75" customHeight="1" s="26"/>
    <row r="803" ht="15.75" customHeight="1" s="26"/>
    <row r="804" ht="15.75" customHeight="1" s="26"/>
    <row r="805" ht="15.75" customHeight="1" s="26"/>
    <row r="806" ht="15.75" customHeight="1" s="26"/>
    <row r="807" ht="15.75" customHeight="1" s="26"/>
    <row r="808" ht="15.75" customHeight="1" s="26"/>
    <row r="809" ht="15.75" customHeight="1" s="26"/>
    <row r="810" ht="15.75" customHeight="1" s="26"/>
    <row r="811" ht="15.75" customHeight="1" s="26"/>
    <row r="812" ht="15.75" customHeight="1" s="26"/>
    <row r="813" ht="15.75" customHeight="1" s="26"/>
    <row r="814" ht="15.75" customHeight="1" s="26"/>
    <row r="815" ht="15.75" customHeight="1" s="26"/>
    <row r="816" ht="15.75" customHeight="1" s="26"/>
    <row r="817" ht="15.75" customHeight="1" s="26"/>
    <row r="818" ht="15.75" customHeight="1" s="26"/>
    <row r="819" ht="15.75" customHeight="1" s="26"/>
    <row r="820" ht="15.75" customHeight="1" s="26"/>
    <row r="821" ht="15.75" customHeight="1" s="26"/>
    <row r="822" ht="15.75" customHeight="1" s="26"/>
    <row r="823" ht="15.75" customHeight="1" s="26"/>
    <row r="824" ht="15.75" customHeight="1" s="26"/>
    <row r="825" ht="15.75" customHeight="1" s="26"/>
    <row r="826" ht="15.75" customHeight="1" s="26"/>
    <row r="827" ht="15.75" customHeight="1" s="26"/>
    <row r="828" ht="15.75" customHeight="1" s="26"/>
    <row r="829" ht="15.75" customHeight="1" s="26"/>
    <row r="830" ht="15.75" customHeight="1" s="26"/>
    <row r="831" ht="15.75" customHeight="1" s="26"/>
    <row r="832" ht="15.75" customHeight="1" s="26"/>
    <row r="833" ht="15.75" customHeight="1" s="26"/>
    <row r="834" ht="15.75" customHeight="1" s="26"/>
    <row r="835" ht="15.75" customHeight="1" s="26"/>
    <row r="836" ht="15.75" customHeight="1" s="26"/>
    <row r="837" ht="15.75" customHeight="1" s="26"/>
    <row r="838" ht="15.75" customHeight="1" s="26"/>
    <row r="839" ht="15.75" customHeight="1" s="26"/>
    <row r="840" ht="15.75" customHeight="1" s="26"/>
    <row r="841" ht="15.75" customHeight="1" s="26"/>
    <row r="842" ht="15.75" customHeight="1" s="26"/>
    <row r="843" ht="15.75" customHeight="1" s="26"/>
    <row r="844" ht="15.75" customHeight="1" s="26"/>
    <row r="845" ht="15.75" customHeight="1" s="26"/>
    <row r="846" ht="15.75" customHeight="1" s="26"/>
    <row r="847" ht="15.75" customHeight="1" s="26"/>
    <row r="848" ht="15.75" customHeight="1" s="26"/>
    <row r="849" ht="15.75" customHeight="1" s="26"/>
    <row r="850" ht="15.75" customHeight="1" s="26"/>
    <row r="851" ht="15.75" customHeight="1" s="26"/>
    <row r="852" ht="15.75" customHeight="1" s="26"/>
    <row r="853" ht="15.75" customHeight="1" s="26"/>
    <row r="854" ht="15.75" customHeight="1" s="26"/>
    <row r="855" ht="15.75" customHeight="1" s="26"/>
    <row r="856" ht="15.75" customHeight="1" s="26"/>
    <row r="857" ht="15.75" customHeight="1" s="26"/>
    <row r="858" ht="15.75" customHeight="1" s="26"/>
    <row r="859" ht="15.75" customHeight="1" s="26"/>
    <row r="860" ht="15.75" customHeight="1" s="26"/>
    <row r="861" ht="15.75" customHeight="1" s="26"/>
    <row r="862" ht="15.75" customHeight="1" s="26"/>
    <row r="863" ht="15.75" customHeight="1" s="26"/>
    <row r="864" ht="15.75" customHeight="1" s="26"/>
    <row r="865" ht="15.75" customHeight="1" s="26"/>
    <row r="866" ht="15.75" customHeight="1" s="26"/>
    <row r="867" ht="15.75" customHeight="1" s="26"/>
    <row r="868" ht="15.75" customHeight="1" s="26"/>
    <row r="869" ht="15.75" customHeight="1" s="26"/>
    <row r="870" ht="15.75" customHeight="1" s="26"/>
    <row r="871" ht="15.75" customHeight="1" s="26"/>
    <row r="872" ht="15.75" customHeight="1" s="26"/>
    <row r="873" ht="15.75" customHeight="1" s="26"/>
    <row r="874" ht="15.75" customHeight="1" s="26"/>
    <row r="875" ht="15.75" customHeight="1" s="26"/>
    <row r="876" ht="15.75" customHeight="1" s="26"/>
    <row r="877" ht="15.75" customHeight="1" s="26"/>
    <row r="878" ht="15.75" customHeight="1" s="26"/>
    <row r="879" ht="15.75" customHeight="1" s="26"/>
    <row r="880" ht="15.75" customHeight="1" s="26"/>
    <row r="881" ht="15.75" customHeight="1" s="26"/>
    <row r="882" ht="15.75" customHeight="1" s="26"/>
    <row r="883" ht="15.75" customHeight="1" s="26"/>
    <row r="884" ht="15.75" customHeight="1" s="26"/>
    <row r="885" ht="15.75" customHeight="1" s="26"/>
    <row r="886" ht="15.75" customHeight="1" s="26"/>
    <row r="887" ht="15.75" customHeight="1" s="26"/>
    <row r="888" ht="15.75" customHeight="1" s="26"/>
    <row r="889" ht="15.75" customHeight="1" s="26"/>
    <row r="890" ht="15.75" customHeight="1" s="26"/>
    <row r="891" ht="15.75" customHeight="1" s="26"/>
    <row r="892" ht="15.75" customHeight="1" s="26"/>
    <row r="893" ht="15.75" customHeight="1" s="26"/>
    <row r="894" ht="15.75" customHeight="1" s="26"/>
    <row r="895" ht="15.75" customHeight="1" s="26"/>
    <row r="896" ht="15.75" customHeight="1" s="26"/>
    <row r="897" ht="15.75" customHeight="1" s="26"/>
    <row r="898" ht="15.75" customHeight="1" s="26"/>
    <row r="899" ht="15.75" customHeight="1" s="26"/>
    <row r="900" ht="15.75" customHeight="1" s="26"/>
    <row r="901" ht="15.75" customHeight="1" s="26"/>
    <row r="902" ht="15.75" customHeight="1" s="26"/>
    <row r="903" ht="15.75" customHeight="1" s="26"/>
    <row r="904" ht="15.75" customHeight="1" s="26"/>
    <row r="905" ht="15.75" customHeight="1" s="26"/>
    <row r="906" ht="15.75" customHeight="1" s="26"/>
    <row r="907" ht="15.75" customHeight="1" s="26"/>
    <row r="908" ht="15.75" customHeight="1" s="26"/>
    <row r="909" ht="15.75" customHeight="1" s="26"/>
    <row r="910" ht="15.75" customHeight="1" s="26"/>
    <row r="911" ht="15.75" customHeight="1" s="26"/>
    <row r="912" ht="15.75" customHeight="1" s="26"/>
    <row r="913" ht="15.75" customHeight="1" s="26"/>
    <row r="914" ht="15.75" customHeight="1" s="26"/>
    <row r="915" ht="15.75" customHeight="1" s="26"/>
    <row r="916" ht="15.75" customHeight="1" s="26"/>
    <row r="917" ht="15.75" customHeight="1" s="26"/>
    <row r="918" ht="15.75" customHeight="1" s="26"/>
    <row r="919" ht="15.75" customHeight="1" s="26"/>
    <row r="920" ht="15.75" customHeight="1" s="26"/>
    <row r="921" ht="15.75" customHeight="1" s="26"/>
    <row r="922" ht="15.75" customHeight="1" s="26"/>
    <row r="923" ht="15.75" customHeight="1" s="26"/>
    <row r="924" ht="15.75" customHeight="1" s="26"/>
    <row r="925" ht="15.75" customHeight="1" s="26"/>
    <row r="926" ht="15.75" customHeight="1" s="26"/>
    <row r="927" ht="15.75" customHeight="1" s="26"/>
    <row r="928" ht="15.75" customHeight="1" s="26"/>
    <row r="929" ht="15.75" customHeight="1" s="26"/>
    <row r="930" ht="15.75" customHeight="1" s="26"/>
    <row r="931" ht="15.75" customHeight="1" s="26"/>
    <row r="932" ht="15.75" customHeight="1" s="26"/>
    <row r="933" ht="15.75" customHeight="1" s="26"/>
    <row r="934" ht="15.75" customHeight="1" s="26"/>
    <row r="935" ht="15.75" customHeight="1" s="26"/>
    <row r="936" ht="15.75" customHeight="1" s="26"/>
    <row r="937" ht="15.75" customHeight="1" s="26"/>
    <row r="938" ht="15.75" customHeight="1" s="26"/>
    <row r="939" ht="15.75" customHeight="1" s="26"/>
    <row r="940" ht="15.75" customHeight="1" s="26"/>
    <row r="941" ht="15.75" customHeight="1" s="26"/>
    <row r="942" ht="15.75" customHeight="1" s="26"/>
    <row r="943" ht="15.75" customHeight="1" s="26"/>
    <row r="944" ht="15.75" customHeight="1" s="26"/>
    <row r="945" ht="15.75" customHeight="1" s="26"/>
    <row r="946" ht="15.75" customHeight="1" s="26"/>
    <row r="947" ht="15.75" customHeight="1" s="26"/>
    <row r="948" ht="15.75" customHeight="1" s="26"/>
    <row r="949" ht="15.75" customHeight="1" s="26"/>
    <row r="950" ht="15.75" customHeight="1" s="26"/>
    <row r="951" ht="15.75" customHeight="1" s="26"/>
    <row r="952" ht="15.75" customHeight="1" s="26"/>
    <row r="953" ht="15.75" customHeight="1" s="26"/>
    <row r="954" ht="15.75" customHeight="1" s="26"/>
    <row r="955" ht="15.75" customHeight="1" s="26"/>
    <row r="956" ht="15.75" customHeight="1" s="26"/>
    <row r="957" ht="15.75" customHeight="1" s="26"/>
    <row r="958" ht="15.75" customHeight="1" s="26"/>
    <row r="959" ht="15.75" customHeight="1" s="26"/>
    <row r="960" ht="15.75" customHeight="1" s="26"/>
    <row r="961" ht="15.75" customHeight="1" s="26"/>
    <row r="962" ht="15.75" customHeight="1" s="26"/>
    <row r="963" ht="15.75" customHeight="1" s="26"/>
    <row r="964" ht="15.75" customHeight="1" s="26"/>
    <row r="965" ht="15.75" customHeight="1" s="26"/>
    <row r="966" ht="15.75" customHeight="1" s="26"/>
    <row r="967" ht="15.75" customHeight="1" s="26"/>
    <row r="968" ht="15.75" customHeight="1" s="26"/>
    <row r="969" ht="15.75" customHeight="1" s="26"/>
    <row r="970" ht="15.75" customHeight="1" s="26"/>
    <row r="971" ht="15.75" customHeight="1" s="26"/>
    <row r="972" ht="15.75" customHeight="1" s="26"/>
    <row r="973" ht="15.75" customHeight="1" s="26"/>
    <row r="974" ht="15.75" customHeight="1" s="26"/>
    <row r="975" ht="15.75" customHeight="1" s="26"/>
    <row r="976" ht="15.75" customHeight="1" s="26"/>
    <row r="977" ht="15.75" customHeight="1" s="26"/>
    <row r="978" ht="15.75" customHeight="1" s="26"/>
    <row r="979" ht="15.75" customHeight="1" s="26"/>
    <row r="980" ht="15.75" customHeight="1" s="26"/>
    <row r="981" ht="15.75" customHeight="1" s="26"/>
    <row r="982" ht="15.75" customHeight="1" s="26"/>
    <row r="983" ht="15.75" customHeight="1" s="26"/>
    <row r="984" ht="15.75" customHeight="1" s="26"/>
    <row r="985" ht="15.75" customHeight="1" s="26"/>
    <row r="986" ht="15.75" customHeight="1" s="26"/>
    <row r="987" ht="15.75" customHeight="1" s="26"/>
    <row r="988" ht="15.75" customHeight="1" s="26"/>
    <row r="989" ht="15.75" customHeight="1" s="26"/>
    <row r="990" ht="15.75" customHeight="1" s="26"/>
    <row r="991" ht="15.75" customHeight="1" s="26"/>
    <row r="992" ht="15.75" customHeight="1" s="26"/>
    <row r="993" ht="15.75" customHeight="1" s="26"/>
    <row r="994" ht="15.75" customHeight="1" s="26"/>
    <row r="995" ht="15.75" customHeight="1" s="26"/>
    <row r="996" ht="15.75" customHeight="1" s="26"/>
    <row r="997" ht="15.75" customHeight="1" s="26"/>
    <row r="998" ht="15.75" customHeight="1" s="26"/>
    <row r="999" ht="15.75" customHeight="1" s="26"/>
    <row r="1000" ht="15.75" customHeight="1" s="26"/>
  </sheetData>
  <mergeCells count="1">
    <mergeCell ref="A10:E10"/>
  </mergeCells>
  <hyperlinks>
    <hyperlink xmlns:r="http://schemas.openxmlformats.org/officeDocument/2006/relationships" ref="B4" display="FinOps Lead - Cloud" r:id="rId1"/>
    <hyperlink xmlns:r="http://schemas.openxmlformats.org/officeDocument/2006/relationships" ref="B5" display="Senior Manager, TBM Platform &amp; Cloud FinOps" r:id="rId2"/>
    <hyperlink xmlns:r="http://schemas.openxmlformats.org/officeDocument/2006/relationships" ref="B6" display="Senior FinOps Engineer" r:id="rId3"/>
    <hyperlink xmlns:r="http://schemas.openxmlformats.org/officeDocument/2006/relationships" ref="B7" display="Cloud FinOps Analyst" r:id="rId4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2026-09-25T14:49:42Z</dcterms:created>
  <dcterms:modified xsi:type="dcterms:W3CDTF">2026-10-06T11:00:15Z</dcterms:modified>
  <cp:revision>0</cp:revision>
</cp:coreProperties>
</file>