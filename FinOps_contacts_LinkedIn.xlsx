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Топ-10 компаний" sheetId="1" state="visible" r:id="rId1"/>
    <sheet name="Как считаем баллы" sheetId="2" state="visible" r:id="rId2"/>
    <sheet name="Второй эшелон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0000FF"/>
      <sz val="10"/>
      <u val="single"/>
    </font>
    <font>
      <name val="Arial"/>
      <charset val="1"/>
      <family val="0"/>
      <color rgb="FF8C8C8C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b val="1"/>
      <color rgb="FF1F4E79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BF8F00"/>
        <bgColor rgb="FF808000"/>
      </patternFill>
    </fill>
    <fill>
      <patternFill patternType="solid">
        <fgColor rgb="FFE8EEF5"/>
        <bgColor rgb="FFFFFFFF"/>
      </patternFill>
    </fill>
    <fill>
      <patternFill patternType="solid">
        <fgColor rgb="FFFFF2CC"/>
        <bgColor rgb="FFE8EEF5"/>
      </patternFill>
    </fill>
  </fills>
  <borders count="9">
    <border>
      <left/>
      <right/>
      <top/>
      <bottom/>
      <diagonal/>
    </border>
    <border>
      <left style="thin">
        <color rgb="FFB7C4D4"/>
      </left>
      <right style="thin">
        <color rgb="FFB7C4D4"/>
      </right>
      <top style="thin">
        <color rgb="FFB7C4D4"/>
      </top>
      <bottom style="thin">
        <color rgb="FFB7C4D4"/>
      </bottom>
      <diagonal/>
    </border>
    <border>
      <left/>
      <right/>
      <top style="thin">
        <color rgb="FFB7C4D4"/>
      </top>
      <bottom/>
      <diagonal/>
    </border>
    <border>
      <left/>
      <right style="thin">
        <color rgb="FFB7C4D4"/>
      </right>
      <top style="thin">
        <color rgb="FFB7C4D4"/>
      </top>
      <bottom/>
      <diagonal/>
    </border>
    <border>
      <left/>
      <right/>
      <top style="thin">
        <color rgb="FFB7C4D4"/>
      </top>
      <bottom style="thin">
        <color rgb="FFB7C4D4"/>
      </bottom>
      <diagonal/>
    </border>
    <border>
      <left/>
      <right style="thin">
        <color rgb="FFB7C4D4"/>
      </right>
      <top style="thin">
        <color rgb="FFB7C4D4"/>
      </top>
      <bottom style="thin">
        <color rgb="FFB7C4D4"/>
      </bottom>
      <diagonal/>
    </border>
    <border>
      <left style="thin">
        <color rgb="FFB7C4D4"/>
      </left>
      <right/>
      <top/>
      <bottom/>
      <diagonal/>
    </border>
    <border>
      <left style="thin">
        <color rgb="FFB7C4D4"/>
      </left>
      <right style="thin">
        <color rgb="FFB7C4D4"/>
      </right>
      <top/>
      <bottom/>
      <diagonal/>
    </border>
    <border>
      <left style="thin">
        <color rgb="FFB7C4D4"/>
      </left>
      <right style="thin">
        <color rgb="FFB7C4D4"/>
      </right>
      <top/>
      <bottom style="thin">
        <color rgb="FFB7C4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4"/>
      <rgbColor rgb="FF808080"/>
      <rgbColor rgb="FF9999FF"/>
      <rgbColor rgb="FF993366"/>
      <rgbColor rgb="FFFFF2CC"/>
      <rgbColor rgb="FFE8EE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8C8C8C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r-infrastructure-cloud-spend-manager-at-mimecast-4461254617" TargetMode="External" Id="rId1" /><Relationship Type="http://schemas.openxmlformats.org/officeDocument/2006/relationships/hyperlink" Target="https://www.linkedin.com/in/david-call-5a704a1/" TargetMode="External" Id="rId2" /><Relationship Type="http://schemas.openxmlformats.org/officeDocument/2006/relationships/hyperlink" Target="https://www.linkedin.com/jobs/view/senior-director-technology-finops-at-bny-4451840428" TargetMode="External" Id="rId3" /><Relationship Type="http://schemas.openxmlformats.org/officeDocument/2006/relationships/hyperlink" Target="https://www.linkedin.com/jobs/view/senior-finops-analyst-at-healthedge-4459883691" TargetMode="External" Id="rId4" /><Relationship Type="http://schemas.openxmlformats.org/officeDocument/2006/relationships/hyperlink" Target="https://www.linkedin.com/jobs/view/finops-lead-at-ochsner-health-4466704032" TargetMode="External" Id="rId5" /><Relationship Type="http://schemas.openxmlformats.org/officeDocument/2006/relationships/hyperlink" Target="https://www.linkedin.com/jobs/view/cloud-financial-operations-specialist-at-stride-inc-4468279309" TargetMode="External" Id="rId6" /><Relationship Type="http://schemas.openxmlformats.org/officeDocument/2006/relationships/hyperlink" Target="https://www.linkedin.com/jobs/view/finops-specialist-at-stifel-financial-corp-4452988967" TargetMode="External" Id="rId7" /><Relationship Type="http://schemas.openxmlformats.org/officeDocument/2006/relationships/hyperlink" Target="https://www.linkedin.com/in/sandeep-p-581ab64/" TargetMode="External" Id="rId8" /><Relationship Type="http://schemas.openxmlformats.org/officeDocument/2006/relationships/hyperlink" Target="https://www.linkedin.com/jobs/view/cloud-finops-analyst-at-metlife-4467431419" TargetMode="External" Id="rId9" /><Relationship Type="http://schemas.openxmlformats.org/officeDocument/2006/relationships/hyperlink" Target="https://www.linkedin.com/jobs/view/assistant-vice-president-cloud-economics-finance-partner-at-moody-s-corporation-4465808387" TargetMode="External" Id="rId10" /><Relationship Type="http://schemas.openxmlformats.org/officeDocument/2006/relationships/hyperlink" Target="https://www.linkedin.com/jobs/view/cloud-finops-engineer-at-smurfit-westrock-4465839666" TargetMode="External" Id="rId11" /><Relationship Type="http://schemas.openxmlformats.org/officeDocument/2006/relationships/hyperlink" Target="https://www.linkedin.com/jobs/view/finops-specialist-at-point72-4468515174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finops-lead-cloud-remote-at-velera-4458304296" TargetMode="External" Id="rId1" /><Relationship Type="http://schemas.openxmlformats.org/officeDocument/2006/relationships/hyperlink" Target="https://www.linkedin.com/jobs/view/senior-manager-tbm-platform-cloud-finops-at-hub-international-4460939377" TargetMode="External" Id="rId2" /><Relationship Type="http://schemas.openxmlformats.org/officeDocument/2006/relationships/hyperlink" Target="https://www.linkedin.com/jobs/view/senior-finops-engineer-at-fanduel-4455888433" TargetMode="External" Id="rId3" /><Relationship Type="http://schemas.openxmlformats.org/officeDocument/2006/relationships/hyperlink" Target="https://www.linkedin.com/jobs/view/cloud-finops-analyst-at-vf-corporation-4469088198" TargetMode="External" Id="rId4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baseColWidth="8" defaultColWidth="14.43359375" defaultRowHeight="15" zeroHeight="0" outlineLevelRow="0"/>
  <cols>
    <col width="4" customWidth="1" style="25" min="1" max="1"/>
    <col width="16" customWidth="1" style="25" min="2" max="2"/>
    <col width="22" customWidth="1" style="25" min="3" max="3"/>
    <col width="26" customWidth="1" style="25" min="4" max="4"/>
    <col width="19.71" customWidth="1" style="25" min="5" max="5"/>
    <col width="26" customWidth="1" style="25" min="6" max="6"/>
    <col width="8" customWidth="1" style="25" min="7" max="7"/>
    <col width="26" customWidth="1" style="25" min="8" max="8"/>
    <col width="8" customWidth="1" style="25" min="9" max="9"/>
    <col width="26" customWidth="1" style="25" min="10" max="10"/>
    <col width="8" customWidth="1" style="25" min="11" max="11"/>
    <col width="26" customWidth="1" style="25" min="12" max="12"/>
    <col width="8" customWidth="1" style="25" min="13" max="13"/>
    <col width="24" customWidth="1" style="25" min="14" max="14"/>
    <col width="8" customWidth="1" style="25" min="15" max="15"/>
    <col width="22" customWidth="1" style="25" min="16" max="16"/>
    <col width="10" customWidth="1" style="25" min="17" max="17"/>
    <col width="26" customWidth="1" style="25" min="18" max="18"/>
    <col width="24" customWidth="1" style="25" min="19" max="19"/>
    <col width="22" customWidth="1" style="25" min="20" max="20"/>
    <col width="28" customWidth="1" style="25" min="21" max="21"/>
    <col width="8.710000000000001" customWidth="1" style="25" min="22" max="25"/>
  </cols>
  <sheetData>
    <row r="1" ht="17.35" customHeight="1" s="26">
      <c r="A1" s="27" t="inlineStr">
        <is>
          <t>Компании для FinOps-аудита из вакансий LinkedIn</t>
        </is>
      </c>
    </row>
    <row r="2" ht="15" customHeight="1" s="26">
      <c r="A2" s="28" t="inlineStr">
        <is>
          <t>Вакансии опубликованы в США за последний месяц, прочитаны 25.09.2026</t>
        </is>
      </c>
    </row>
    <row r="3" ht="15" customHeight="1" s="26">
      <c r="A3" s="28" t="inlineStr">
        <is>
          <t>Почему LinkedIn: открытая вакансия FinOps показывает, что у компании есть проблема с облачными расходами и бюджет на её решение; по тексту вакансии видно облака, инструменты, задачи и кому писать.</t>
        </is>
      </c>
    </row>
    <row r="4" ht="19.5" customHeight="1" s="26">
      <c r="A4" s="29" t="inlineStr">
        <is>
          <t>Компания и вакансия</t>
        </is>
      </c>
      <c r="B4" s="30" t="n"/>
      <c r="C4" s="30" t="n"/>
      <c r="D4" s="30" t="n"/>
      <c r="E4" s="31" t="n"/>
      <c r="F4" s="32" t="inlineStr">
        <is>
          <t>Почему подходит (баллы — по правилам на листе «Как считаем баллы»)</t>
        </is>
      </c>
      <c r="G4" s="30" t="n"/>
      <c r="H4" s="30" t="n"/>
      <c r="I4" s="30" t="n"/>
      <c r="J4" s="30" t="n"/>
      <c r="K4" s="30" t="n"/>
      <c r="L4" s="30" t="n"/>
      <c r="M4" s="30" t="n"/>
      <c r="N4" s="30" t="n"/>
      <c r="O4" s="31" t="n"/>
      <c r="P4" s="29" t="inlineStr">
        <is>
          <t>Риск</t>
        </is>
      </c>
      <c r="Q4" s="29" t="inlineStr">
        <is>
          <t>Итог</t>
        </is>
      </c>
      <c r="R4" s="33" t="inlineStr">
        <is>
          <t>Для продаж — заполнить</t>
        </is>
      </c>
      <c r="S4" s="30" t="n"/>
      <c r="T4" s="30" t="n"/>
      <c r="U4" s="31" t="n"/>
    </row>
    <row r="5" ht="30" customHeight="1" s="26">
      <c r="A5" s="34" t="inlineStr">
        <is>
          <t>#</t>
        </is>
      </c>
      <c r="B5" s="34" t="inlineStr">
        <is>
          <t>Компания</t>
        </is>
      </c>
      <c r="C5" s="34" t="inlineStr">
        <is>
          <t>Отрасль</t>
        </is>
      </c>
      <c r="D5" s="34" t="inlineStr">
        <is>
          <t>Вакансия</t>
        </is>
      </c>
      <c r="E5" s="34" t="inlineStr">
        <is>
          <t>Опубликована</t>
        </is>
      </c>
      <c r="F5" s="34" t="inlineStr">
        <is>
          <t>1. Облака (мультиоблако)</t>
        </is>
      </c>
      <c r="G5" s="31" t="n"/>
      <c r="H5" s="34" t="inlineStr">
        <is>
          <t>2. Стадия FinOps</t>
        </is>
      </c>
      <c r="I5" s="31" t="n"/>
      <c r="J5" s="34" t="inlineStr">
        <is>
          <t>3. Распределение затрат</t>
        </is>
      </c>
      <c r="K5" s="31" t="n"/>
      <c r="L5" s="34" t="inlineStr">
        <is>
          <t>4. Связь с CMDB</t>
        </is>
      </c>
      <c r="M5" s="31" t="n"/>
      <c r="N5" s="34" t="inlineStr">
        <is>
          <t>5. Обязательства перед облаком</t>
        </is>
      </c>
      <c r="O5" s="31" t="n"/>
      <c r="P5" s="34" t="inlineStr">
        <is>
          <t>Текущий FinOps-инструмент</t>
        </is>
      </c>
      <c r="Q5" s="34" t="inlineStr">
        <is>
          <t>Итоговый балл (из 10)</t>
        </is>
      </c>
      <c r="R5" s="34" t="inlineStr">
        <is>
          <t>Кому подчиняется роль (из вакансии)</t>
        </is>
      </c>
      <c r="S5" s="35" t="inlineStr">
        <is>
          <t>Кому писать: имя, должность</t>
        </is>
      </c>
      <c r="T5" s="35" t="inlineStr">
        <is>
          <t>Кому писать: Ссылка на профиль</t>
        </is>
      </c>
      <c r="U5" s="35" t="inlineStr">
        <is>
          <t>Комментарий</t>
        </is>
      </c>
    </row>
    <row r="6" ht="25.5" customHeight="1" s="26">
      <c r="A6" s="36" t="n"/>
      <c r="B6" s="36" t="n"/>
      <c r="C6" s="36" t="n"/>
      <c r="D6" s="36" t="n"/>
      <c r="E6" s="36" t="n"/>
      <c r="F6" s="34" t="inlineStr">
        <is>
          <t>Что в вакансии</t>
        </is>
      </c>
      <c r="G6" s="34" t="inlineStr">
        <is>
          <t>Балл (макс. 3)</t>
        </is>
      </c>
      <c r="H6" s="34" t="inlineStr">
        <is>
          <t>Что в вакансии</t>
        </is>
      </c>
      <c r="I6" s="34" t="inlineStr">
        <is>
          <t>Балл (макс. 2)</t>
        </is>
      </c>
      <c r="J6" s="34" t="inlineStr">
        <is>
          <t>Что в вакансии</t>
        </is>
      </c>
      <c r="K6" s="34" t="inlineStr">
        <is>
          <t>Балл (макс. 2)</t>
        </is>
      </c>
      <c r="L6" s="34" t="inlineStr">
        <is>
          <t>Что в вакансии</t>
        </is>
      </c>
      <c r="M6" s="34" t="inlineStr">
        <is>
          <t>Балл (макс. 2)</t>
        </is>
      </c>
      <c r="N6" s="34" t="inlineStr">
        <is>
          <t>Что в вакансии</t>
        </is>
      </c>
      <c r="O6" s="34" t="inlineStr">
        <is>
          <t>Балл (макс. 1)</t>
        </is>
      </c>
      <c r="P6" s="36" t="n"/>
      <c r="Q6" s="36" t="n"/>
      <c r="R6" s="36" t="n"/>
      <c r="S6" s="36" t="n"/>
      <c r="T6" s="36" t="n"/>
      <c r="U6" s="36" t="n"/>
    </row>
    <row r="7" ht="46.25" customHeight="1" s="26">
      <c r="A7" s="37" t="n">
        <v>1</v>
      </c>
      <c r="B7" s="38" t="inlineStr">
        <is>
          <t>Mimecast</t>
        </is>
      </c>
      <c r="C7" s="39" t="inlineStr">
        <is>
          <t>Кибербезопасность (ПО); компания принадлежит фонду прямых инвестиций</t>
        </is>
      </c>
      <c r="D7" s="40" t="inlineStr">
        <is>
          <t>Sr. Infrastructure &amp; Cloud Spend Manager</t>
        </is>
      </c>
      <c r="E7" s="39" t="inlineStr">
        <is>
          <t>22.09.2026 (3 дня)</t>
        </is>
      </c>
      <c r="F7" s="39" t="inlineStr">
        <is>
          <t>AWS, Azure, GCP + дата-центры и colocation</t>
        </is>
      </c>
      <c r="G7" s="41" t="n">
        <v>3</v>
      </c>
      <c r="H7" s="39" t="inlineStr">
        <is>
          <t>Строят с нуля: базовая отчётность за первые 90 дней</t>
        </is>
      </c>
      <c r="I7" s="41" t="n">
        <v>2</v>
      </c>
      <c r="J7" s="39" t="inlineStr">
        <is>
          <t>Таксономия затрат по продуктам, командам и подразделениям</t>
        </is>
      </c>
      <c r="K7" s="41" t="n">
        <v>2</v>
      </c>
      <c r="L7" s="39" t="inlineStr">
        <is>
          <t>Облака и дата-центры в одной картине с привязкой к продуктам</t>
        </is>
      </c>
      <c r="M7" s="41" t="n">
        <v>2</v>
      </c>
      <c r="N7" s="39" t="inlineStr">
        <is>
          <t>Reserved Instances и Savings Plans</t>
        </is>
      </c>
      <c r="O7" s="41" t="n">
        <v>1</v>
      </c>
      <c r="P7" s="39" t="inlineStr">
        <is>
          <t>Не указан</t>
        </is>
      </c>
      <c r="Q7" s="42">
        <f>G7+I7+K7+M7+O7</f>
        <v/>
      </c>
      <c r="R7" s="39" t="inlineStr">
        <is>
          <t>VP, Product Finance &amp; Corporate Development</t>
        </is>
      </c>
      <c r="S7" s="43" t="inlineStr">
        <is>
          <t>Steve Tisa — VP, Infrastructure and Services
(в таблице уже есть David Call, VP Product Finance — это руководитель из вакансии)</t>
        </is>
      </c>
      <c r="T7" s="44" t="inlineStr">
        <is>
          <t>https://www.linkedin.com/in/david-call-5a704a1/
https://www.linkedin.com/in/stisa</t>
        </is>
      </c>
      <c r="U7" s="43" t="inlineStr">
        <is>
          <t>Стив — второй вход со стороны инфраструктуры. Исходная ссылка на David Call оставлена.</t>
        </is>
      </c>
    </row>
    <row r="8" ht="35.05" customHeight="1" s="26">
      <c r="A8" s="37" t="n">
        <v>2</v>
      </c>
      <c r="B8" s="38" t="inlineStr">
        <is>
          <t>BNY</t>
        </is>
      </c>
      <c r="C8" s="39" t="inlineStr">
        <is>
          <t>Банк, финансовые услуги</t>
        </is>
      </c>
      <c r="D8" s="40" t="inlineStr">
        <is>
          <t>Senior Director, Technology FinOps</t>
        </is>
      </c>
      <c r="E8" s="39" t="inlineStr">
        <is>
          <t>24.09.2026 (1 день)</t>
        </is>
      </c>
      <c r="F8" s="39" t="inlineStr">
        <is>
          <t>Несколько облаков и поставщиков, AI, платформы данных</t>
        </is>
      </c>
      <c r="G8" s="41" t="n">
        <v>3</v>
      </c>
      <c r="H8" s="39" t="inlineStr">
        <is>
          <t>Строят функцию с нуля, набирают команду</t>
        </is>
      </c>
      <c r="I8" s="41" t="n">
        <v>2</v>
      </c>
      <c r="J8" s="39" t="inlineStr">
        <is>
          <t>Теги, showback/chargeback, по подразделениям и продуктам</t>
        </is>
      </c>
      <c r="K8" s="41" t="n">
        <v>2</v>
      </c>
      <c r="L8" s="39" t="inlineStr">
        <is>
          <t>Распределение по приложениям, окружениям и владельцам</t>
        </is>
      </c>
      <c r="M8" s="41" t="n">
        <v>2</v>
      </c>
      <c r="N8" s="45" t="inlineStr">
        <is>
          <t>Не упомянуто</t>
        </is>
      </c>
      <c r="O8" s="41" t="n">
        <v>0</v>
      </c>
      <c r="P8" s="39" t="inlineStr">
        <is>
          <t>Не указан</t>
        </is>
      </c>
      <c r="Q8" s="42">
        <f>G8+I8+K8+M8+O8</f>
        <v/>
      </c>
      <c r="R8" s="39" t="inlineStr">
        <is>
          <t>Engineering Hub Lead и CFO, Engineering (двойное подчинение)</t>
        </is>
      </c>
      <c r="S8" s="43" t="inlineStr">
        <is>
          <t>Eli Grinvald — Head of Cloud, BNY Mellon | PershingX (владелец облака; проверено по профилю)
Katie Sealander Skavronski — SVP, FP&amp;A, Technology Finance (финансы технологий; проверено по профилю)
Sonia Kataria — COO, Technology, Strategy &amp; Execution, Office of the CIO (союзник на уровне CIO/CFO; проверено по профилю)</t>
        </is>
      </c>
      <c r="T8" s="43" t="inlineStr">
        <is>
          <t>https://www.linkedin.com/in/eligrinvald
https://www.linkedin.com/in/katie-sealander-skavronski
https://www.linkedin.com/in/sonia-kataria-ny</t>
        </is>
      </c>
      <c r="U8" s="43" t="inlineStr">
        <is>
          <t>Порядок: Eli, затем Katie, затем Sonia, не в один день. Никто из троих не подтверждён как руководитель вакансии. Nathan Whittall убран: его «FinOps» — клиентский биллинг BNY Pershing. Engineering Hub Lead в Seamless не найден. Для Eli в письме можно упомянуть Kubernetes (cluster-level, поды, контейнеры, рекомендации) — подтверждено коллегой, проверить объём пилота.</t>
        </is>
      </c>
    </row>
    <row r="9" ht="35.05" customHeight="1" s="26">
      <c r="A9" s="37" t="n">
        <v>3</v>
      </c>
      <c r="B9" s="38" t="inlineStr">
        <is>
          <t>HealthEdge</t>
        </is>
      </c>
      <c r="C9" s="39" t="inlineStr">
        <is>
          <t>ПО для медицинских страховщиков</t>
        </is>
      </c>
      <c r="D9" s="40" t="inlineStr">
        <is>
          <t>Senior FinOps Analyst</t>
        </is>
      </c>
      <c r="E9" s="39" t="inlineStr">
        <is>
          <t>18.09.2026 (1 нед.)</t>
        </is>
      </c>
      <c r="F9" s="39" t="inlineStr">
        <is>
          <t>AWS, Azure, GCP + собственные серверы; переезд в AWS</t>
        </is>
      </c>
      <c r="G9" s="41" t="n">
        <v>3</v>
      </c>
      <c r="H9" s="39" t="inlineStr">
        <is>
          <t>Новая функция («newly-formed function»)</t>
        </is>
      </c>
      <c r="I9" s="41" t="n">
        <v>2</v>
      </c>
      <c r="J9" s="39" t="inlineStr">
        <is>
          <t>По продуктам, функциям продукта, клиентам и командам</t>
        </is>
      </c>
      <c r="K9" s="41" t="n">
        <v>2</v>
      </c>
      <c r="L9" s="39" t="inlineStr">
        <is>
          <t>Инвентаризация при переезде из нескольких сред</t>
        </is>
      </c>
      <c r="M9" s="41" t="n">
        <v>2</v>
      </c>
      <c r="N9" s="45" t="inlineStr">
        <is>
          <t>Не упомянуто</t>
        </is>
      </c>
      <c r="O9" s="41" t="n">
        <v>0</v>
      </c>
      <c r="P9" s="39" t="inlineStr">
        <is>
          <t>Не указан</t>
        </is>
      </c>
      <c r="Q9" s="42">
        <f>G9+I9+K9+M9+O9</f>
        <v/>
      </c>
      <c r="R9" s="39" t="inlineStr">
        <is>
          <t>Не указано</t>
        </is>
      </c>
      <c r="S9" s="43" t="inlineStr">
        <is>
          <t>1) James Fallon — VP, Cloud Infrastructure &amp; Operations (владелец облака, портфель $40M+, запускал FinOps-программы; проверено по профилю)
2) Philip Anzalone — SVP Finance (бюджеты $100M+, моделирование рентабельности продуктов; проверено по профилю)
Не проверено: Matt Mclaughlin — CFO</t>
        </is>
      </c>
      <c r="T9" s="43" t="inlineStr">
        <is>
          <t>https://www.linkedin.com/in/james-fallon-cissp-ccsk
https://www.linkedin.com/in/philip-anzalone-1b508a18
https://www.linkedin.com/in/matt-mclaughlin-36b7bb4</t>
        </is>
      </c>
      <c r="U9" s="43" t="inlineStr">
        <is>
          <t>Порядок: James, через 3–5 дней Philip, CFO — только после ответа. James — вероятный руководитель вакансии (подчинение в вакансии не указано), Philip — финансовый партнёр. Расходы по продукту/команде/владельцу можно обещать (подтверждено); по клиентам и функциям продукта — нет.</t>
        </is>
      </c>
    </row>
    <row r="10" ht="35.05" customHeight="1" s="26">
      <c r="A10" s="37" t="n">
        <v>4</v>
      </c>
      <c r="B10" s="38" t="inlineStr">
        <is>
          <t>Ochsner Health</t>
        </is>
      </c>
      <c r="C10" s="39" t="inlineStr">
        <is>
          <t>Здравоохранение (сеть клиник)</t>
        </is>
      </c>
      <c r="D10" s="40" t="inlineStr">
        <is>
          <t>FinOps Lead</t>
        </is>
      </c>
      <c r="E10" s="39" t="inlineStr">
        <is>
          <t>18.09.2026 (1 нед.)</t>
        </is>
      </c>
      <c r="F10" s="39" t="inlineStr">
        <is>
          <t>Azure, AWS, Snowflake</t>
        </is>
      </c>
      <c r="G10" s="41" t="n">
        <v>3</v>
      </c>
      <c r="H10" s="39" t="inlineStr">
        <is>
          <t>Создают практику для всей компании (Lead + аналитик)</t>
        </is>
      </c>
      <c r="I10" s="41" t="n">
        <v>2</v>
      </c>
      <c r="J10" s="39" t="inlineStr">
        <is>
          <t>Подотчётность затрат владельцам приложений и сервисов</t>
        </is>
      </c>
      <c r="K10" s="41" t="n">
        <v>2</v>
      </c>
      <c r="L10" s="45" t="inlineStr">
        <is>
          <t>Не упомянуто</t>
        </is>
      </c>
      <c r="M10" s="41" t="n">
        <v>0</v>
      </c>
      <c r="N10" s="45" t="inlineStr">
        <is>
          <t>Не упомянуто</t>
        </is>
      </c>
      <c r="O10" s="41" t="n">
        <v>0</v>
      </c>
      <c r="P10" s="39" t="inlineStr">
        <is>
          <t>Не указан</t>
        </is>
      </c>
      <c r="Q10" s="42">
        <f>G10+I10+K10+M10+O10</f>
        <v/>
      </c>
      <c r="R10" s="39" t="inlineStr">
        <is>
          <t>Technology Business Manager</t>
        </is>
      </c>
      <c r="S10" s="43" t="inlineStr">
        <is>
          <t>Charlie Piazza — Director, Public Cloud &amp; Data Services
Jack McLeod — AVP, Hybrid Cloud Services</t>
        </is>
      </c>
      <c r="T10" s="43" t="inlineStr">
        <is>
          <t>https://www.linkedin.com/in/charlie-piazza-86b03127
https://www.linkedin.com/in/jackmcleod</t>
        </is>
      </c>
      <c r="U10" s="43" t="inlineStr">
        <is>
          <t>Technology Business Manager в Seamless не найден — искать вручную в LinkedIn. CIO: Amy Trainor https://www.linkedin.com/in/amy-trainor-rn-7858b61b</t>
        </is>
      </c>
    </row>
    <row r="11" ht="35.05" customHeight="1" s="26">
      <c r="A11" s="37" t="n">
        <v>5</v>
      </c>
      <c r="B11" s="38" t="inlineStr">
        <is>
          <t>Stride, Inc.</t>
        </is>
      </c>
      <c r="C11" s="39" t="inlineStr">
        <is>
          <t>Онлайн-образование</t>
        </is>
      </c>
      <c r="D11" s="40" t="inlineStr">
        <is>
          <t>Cloud Financial Operations Specialist</t>
        </is>
      </c>
      <c r="E11" s="39" t="inlineStr">
        <is>
          <t>18.09.2026 (1 нед.)</t>
        </is>
      </c>
      <c r="F11" s="39" t="inlineStr">
        <is>
          <t>AWS, Azure</t>
        </is>
      </c>
      <c r="G11" s="41" t="n">
        <v>3</v>
      </c>
      <c r="H11" s="45" t="inlineStr">
        <is>
          <t>Не ясно: специалист внедряет практики</t>
        </is>
      </c>
      <c r="I11" s="41" t="n">
        <v>0</v>
      </c>
      <c r="J11" s="39" t="inlineStr">
        <is>
          <t>По отделам, командам и проектам</t>
        </is>
      </c>
      <c r="K11" s="41" t="n">
        <v>2</v>
      </c>
      <c r="L11" s="45" t="inlineStr">
        <is>
          <t>Не упомянуто</t>
        </is>
      </c>
      <c r="M11" s="41" t="n">
        <v>0</v>
      </c>
      <c r="N11" s="39" t="inlineStr">
        <is>
          <t>RI, Savings Plans и покупки через AWS Marketplace — вероятно, есть EDP</t>
        </is>
      </c>
      <c r="O11" s="41" t="n">
        <v>1</v>
      </c>
      <c r="P11" s="39" t="inlineStr">
        <is>
          <t>Не указан; нужно интегрировать инструменты биллинга</t>
        </is>
      </c>
      <c r="Q11" s="42">
        <f>G11+I11+K11+M11+O11</f>
        <v/>
      </c>
      <c r="R11" s="39" t="inlineStr">
        <is>
          <t>Не указано</t>
        </is>
      </c>
      <c r="S11" s="43" t="inlineStr">
        <is>
          <t>Praveen Vegesna — Senior DevOps / FinOps (возможно, уже действующий FinOps-специалист)</t>
        </is>
      </c>
      <c r="T11" s="43" t="inlineStr">
        <is>
          <t>https://www.linkedin.com/in/praveen-vegesna-24b6744a</t>
        </is>
      </c>
      <c r="U11" s="43" t="inlineStr">
        <is>
          <t>Руководители облака/инфраструктуры в Seamless не найдены (поиск по stridelearning.com пуст). Остальные результаты — security-инженеры.</t>
        </is>
      </c>
    </row>
    <row r="12" ht="35.05" customHeight="1" s="26">
      <c r="A12" s="37" t="n">
        <v>6</v>
      </c>
      <c r="B12" s="38" t="inlineStr">
        <is>
          <t>Stifel Financial</t>
        </is>
      </c>
      <c r="C12" s="39" t="inlineStr">
        <is>
          <t>Инвестиционный банк и брокер</t>
        </is>
      </c>
      <c r="D12" s="40" t="inlineStr">
        <is>
          <t>FinOps Specialist</t>
        </is>
      </c>
      <c r="E12" s="39" t="inlineStr">
        <is>
          <t>25.09.2026 (сегодня)</t>
        </is>
      </c>
      <c r="F12" s="39" t="inlineStr">
        <is>
          <t>AWS, Azure + SaaS</t>
        </is>
      </c>
      <c r="G12" s="41" t="n">
        <v>3</v>
      </c>
      <c r="H12" s="45" t="inlineStr">
        <is>
          <t>Команда уже есть, это расширение</t>
        </is>
      </c>
      <c r="I12" s="41" t="n">
        <v>0</v>
      </c>
      <c r="J12" s="39" t="inlineStr">
        <is>
          <t>Showback, контроль тегирования</t>
        </is>
      </c>
      <c r="K12" s="41" t="n">
        <v>2</v>
      </c>
      <c r="L12" s="45" t="inlineStr">
        <is>
          <t>Не упомянуто</t>
        </is>
      </c>
      <c r="M12" s="41" t="n">
        <v>0</v>
      </c>
      <c r="N12" s="39" t="inlineStr">
        <is>
          <t>Планирование резервированной мощности</t>
        </is>
      </c>
      <c r="O12" s="41" t="n">
        <v>1</v>
      </c>
      <c r="P12" s="39" t="inlineStr">
        <is>
          <t>Не указан</t>
        </is>
      </c>
      <c r="Q12" s="42">
        <f>G12+I12+K12+M12+O12</f>
        <v/>
      </c>
      <c r="R12" s="39" t="inlineStr">
        <is>
          <t>Старшие специалисты FinOps</t>
        </is>
      </c>
      <c r="S12" s="43" t="inlineStr">
        <is>
          <t>Lauren Borik — FinOps Specialist (с 06.2026)
Mithun Ayachit — Director, Cloud Strategy and Engineering</t>
        </is>
      </c>
      <c r="T12" s="44" t="inlineStr">
        <is>
          <t>https://www.linkedin.com/in/sandeep-p-581ab64/
https://www.linkedin.com/in/shanecredille/
https://www.linkedin.com/in/lauren-borik-396702225
https://www.linkedin.com/in/mithunayachit</t>
        </is>
      </c>
      <c r="U12" s="43" t="inlineStr">
        <is>
          <t>Две исходные ссылки не менялись и в Seamless не проверялись по имени. Mithun — вероятный руководитель по облаку, проверить.</t>
        </is>
      </c>
    </row>
    <row r="13" ht="23.85" customHeight="1" s="26">
      <c r="A13" s="37" t="n">
        <v>7</v>
      </c>
      <c r="B13" s="38" t="inlineStr">
        <is>
          <t>MetLife</t>
        </is>
      </c>
      <c r="C13" s="39" t="inlineStr">
        <is>
          <t>Страхование</t>
        </is>
      </c>
      <c r="D13" s="40" t="inlineStr">
        <is>
          <t>Cloud FinOps Analyst</t>
        </is>
      </c>
      <c r="E13" s="39" t="inlineStr">
        <is>
          <t>18.09.2026 (1 нед.)</t>
        </is>
      </c>
      <c r="F13" s="45" t="inlineStr">
        <is>
          <t>Облака не названы</t>
        </is>
      </c>
      <c r="G13" s="41" t="n">
        <v>0</v>
      </c>
      <c r="H13" s="45" t="inlineStr">
        <is>
          <t>Cloud Business Office уже есть, развивают</t>
        </is>
      </c>
      <c r="I13" s="41" t="n">
        <v>0</v>
      </c>
      <c r="J13" s="39" t="inlineStr">
        <is>
          <t>Showback/chargeback</t>
        </is>
      </c>
      <c r="K13" s="41" t="n">
        <v>2</v>
      </c>
      <c r="L13" s="39" t="inlineStr">
        <is>
          <t>Затраты по приложениям и бизнес-сервисам</t>
        </is>
      </c>
      <c r="M13" s="41" t="n">
        <v>2</v>
      </c>
      <c r="N13" s="39" t="inlineStr">
        <is>
          <t>Оптимизация обязательств</t>
        </is>
      </c>
      <c r="O13" s="41" t="n">
        <v>1</v>
      </c>
      <c r="P13" s="39" t="inlineStr">
        <is>
          <t>Не указан</t>
        </is>
      </c>
      <c r="Q13" s="42">
        <f>G13+I13+K13+M13+O13</f>
        <v/>
      </c>
      <c r="R13" s="39" t="inlineStr">
        <is>
          <t>Cloud Business Office</t>
        </is>
      </c>
      <c r="S13" s="43" t="inlineStr">
        <is>
          <t>Rob Fewkes — Head of Cloud Business Office, Global Technology</t>
        </is>
      </c>
      <c r="T13" s="43" t="inlineStr">
        <is>
          <t>https://www.linkedin.com/in/robfewkes</t>
        </is>
      </c>
      <c r="U13" s="43" t="inlineStr">
        <is>
          <t>Прямое совпадение с «Cloud Business Office». Также в офисе: Heather Ratkowiak (Portfolio Manager) https://www.linkedin.com/in/heatherratkowiak</t>
        </is>
      </c>
    </row>
    <row r="14" ht="23.85" customHeight="1" s="26">
      <c r="A14" s="37" t="n">
        <v>8</v>
      </c>
      <c r="B14" s="38" t="inlineStr">
        <is>
          <t>Moody's</t>
        </is>
      </c>
      <c r="C14" s="39" t="inlineStr">
        <is>
          <t>Кредитные рейтинги, аналитика рисков</t>
        </is>
      </c>
      <c r="D14" s="40" t="inlineStr">
        <is>
          <t>AVP, Cloud Economics Finance Partner</t>
        </is>
      </c>
      <c r="E14" s="39" t="inlineStr">
        <is>
          <t>11.09.2026 (2 нед.)</t>
        </is>
      </c>
      <c r="F14" s="39" t="inlineStr">
        <is>
          <t>AWS, Azure, GCP + Databricks, Snowflake и др.</t>
        </is>
      </c>
      <c r="G14" s="41" t="n">
        <v>3</v>
      </c>
      <c r="H14" s="45" t="inlineStr">
        <is>
          <t>Роль финансового партнёра, не создание практики</t>
        </is>
      </c>
      <c r="I14" s="41" t="n">
        <v>0</v>
      </c>
      <c r="J14" s="39" t="inlineStr">
        <is>
          <t>Методики распределения, контроль тегирования</t>
        </is>
      </c>
      <c r="K14" s="41" t="n">
        <v>2</v>
      </c>
      <c r="L14" s="45" t="inlineStr">
        <is>
          <t>Не упомянуто</t>
        </is>
      </c>
      <c r="M14" s="41" t="n">
        <v>0</v>
      </c>
      <c r="N14" s="45" t="inlineStr">
        <is>
          <t>Не упомянуто</t>
        </is>
      </c>
      <c r="O14" s="41" t="n">
        <v>0</v>
      </c>
      <c r="P14" s="39" t="inlineStr">
        <is>
          <t>Не указан</t>
        </is>
      </c>
      <c r="Q14" s="42">
        <f>G14+I14+K14+M14+O14</f>
        <v/>
      </c>
      <c r="R14" s="39" t="inlineStr">
        <is>
          <t>Не указано (финансовая функция)</t>
        </is>
      </c>
      <c r="S14" s="43" t="inlineStr">
        <is>
          <t>Bharat Rane — Director, Cloud FinOps, Platform Engineering
Sajjad Sainsi — AVP, Cloud FinOps</t>
        </is>
      </c>
      <c r="T14" s="43" t="inlineStr">
        <is>
          <t>https://www.linkedin.com/in/bharatrane
https://www.linkedin.com/in/sajjad-sainsi-589b9b158</t>
        </is>
      </c>
      <c r="U14" s="43" t="inlineStr">
        <is>
          <t>В Moody's уже есть FinOps-команда — роль финансового партнёра; Bharat — вероятный коллега/руководитель. Финансы: Danielle Montalto, VP Procurement &amp; Finance Ops https://www.linkedin.com/in/danielle-montalto</t>
        </is>
      </c>
    </row>
    <row r="15" ht="23.85" customHeight="1" s="26">
      <c r="A15" s="37" t="n">
        <v>9</v>
      </c>
      <c r="B15" s="38" t="inlineStr">
        <is>
          <t>Smurfit Westrock</t>
        </is>
      </c>
      <c r="C15" s="39" t="inlineStr">
        <is>
          <t>Упаковка, производство</t>
        </is>
      </c>
      <c r="D15" s="40" t="inlineStr">
        <is>
          <t>Cloud FinOps Engineer</t>
        </is>
      </c>
      <c r="E15" s="39" t="inlineStr">
        <is>
          <t>11.09.2026 (2 нед.)</t>
        </is>
      </c>
      <c r="F15" s="45" t="inlineStr">
        <is>
          <t>Только AWS</t>
        </is>
      </c>
      <c r="G15" s="41" t="n">
        <v>0</v>
      </c>
      <c r="H15" s="39" t="inlineStr">
        <is>
          <t>Первый специалист по FinOps в компании</t>
        </is>
      </c>
      <c r="I15" s="41" t="n">
        <v>2</v>
      </c>
      <c r="J15" s="39" t="inlineStr">
        <is>
          <t>Распределение начислений AWS по IT-подразделениям</t>
        </is>
      </c>
      <c r="K15" s="41" t="n">
        <v>2</v>
      </c>
      <c r="L15" s="45" t="inlineStr">
        <is>
          <t>Не упомянуто</t>
        </is>
      </c>
      <c r="M15" s="41" t="n">
        <v>0</v>
      </c>
      <c r="N15" s="45" t="inlineStr">
        <is>
          <t>Не упомянуто</t>
        </is>
      </c>
      <c r="O15" s="41" t="n">
        <v>0</v>
      </c>
      <c r="P15" s="39" t="inlineStr">
        <is>
          <t>Не указан; начисления распределяют вручную</t>
        </is>
      </c>
      <c r="Q15" s="42">
        <f>G15+I15+K15+M15+O15</f>
        <v/>
      </c>
      <c r="R15" s="39" t="inlineStr">
        <is>
          <t>Public Cloud Engineering — Cloud Center of Excellence</t>
        </is>
      </c>
      <c r="S15" s="43" t="inlineStr">
        <is>
          <t>Kenny Cannon — Director of Cloud CoE</t>
        </is>
      </c>
      <c r="T15" s="43" t="inlineStr">
        <is>
          <t>https://www.linkedin.com/in/kennycannon</t>
        </is>
      </c>
      <c r="U15" s="43" t="inlineStr">
        <is>
          <t>Совпадает с «Cloud Center of Excellence». В Seamless компания записана как Smurfit Kappa (тот же бренд).</t>
        </is>
      </c>
    </row>
    <row r="16" ht="35.05" customHeight="1" s="26">
      <c r="A16" s="37" t="n">
        <v>10</v>
      </c>
      <c r="B16" s="38" t="inlineStr">
        <is>
          <t>Point72</t>
        </is>
      </c>
      <c r="C16" s="39" t="inlineStr">
        <is>
          <t>Инвестиционный фонд</t>
        </is>
      </c>
      <c r="D16" s="40" t="inlineStr">
        <is>
          <t>FinOps Specialist</t>
        </is>
      </c>
      <c r="E16" s="39" t="inlineStr">
        <is>
          <t>22.09.2026 (3 дня)</t>
        </is>
      </c>
      <c r="F16" s="45" t="inlineStr">
        <is>
          <t>Облака не названы; + SaaS и AI</t>
        </is>
      </c>
      <c r="G16" s="41" t="n">
        <v>0</v>
      </c>
      <c r="H16" s="45" t="inlineStr">
        <is>
          <t>Не указано</t>
        </is>
      </c>
      <c r="I16" s="41" t="n">
        <v>0</v>
      </c>
      <c r="J16" s="39" t="inlineStr">
        <is>
          <t>Теги, showback/chargeback</t>
        </is>
      </c>
      <c r="K16" s="41" t="n">
        <v>2</v>
      </c>
      <c r="L16" s="45" t="inlineStr">
        <is>
          <t>Не упомянуто</t>
        </is>
      </c>
      <c r="M16" s="41" t="n">
        <v>0</v>
      </c>
      <c r="N16" s="39" t="inlineStr">
        <is>
          <t>Прогнозы для решений об обязательствах</t>
        </is>
      </c>
      <c r="O16" s="41" t="n">
        <v>1</v>
      </c>
      <c r="P16" s="39" t="inlineStr">
        <is>
          <t>Нужно внедрить инструменты — вероятно, выбирают</t>
        </is>
      </c>
      <c r="Q16" s="42">
        <f>G16+I16+K16+M16+O16</f>
        <v/>
      </c>
      <c r="R16" s="39" t="inlineStr">
        <is>
          <t>Технологическая команда</t>
        </is>
      </c>
      <c r="S16" s="43" t="inlineStr">
        <is>
          <t>Alistair McDougall — Head of Cloud Engineering
Ilya Gaysinskiy — CTO</t>
        </is>
      </c>
      <c r="T16" s="43" t="inlineStr">
        <is>
          <t>https://www.linkedin.com/in/amcd-ny
https://www.linkedin.com/in/igaysinskiy</t>
        </is>
      </c>
      <c r="U16" s="43" t="inlineStr">
        <is>
          <t>Подчинение в вакансии: «технологическая команда». FinOps-специалистов в Seamless не найдено.</t>
        </is>
      </c>
    </row>
    <row r="18" ht="15" customHeight="1" s="26">
      <c r="B18" s="46" t="inlineStr">
        <is>
          <t>Сколько компаний набрали балл по критерию</t>
        </is>
      </c>
      <c r="G18" s="47">
        <f>COUNTIF(G7:G16,"&gt;0")</f>
        <v/>
      </c>
      <c r="I18" s="47">
        <f>COUNTIF(I7:I16,"&gt;0")</f>
        <v/>
      </c>
      <c r="K18" s="47">
        <f>COUNTIF(K7:K16,"&gt;0")</f>
        <v/>
      </c>
      <c r="M18" s="47">
        <f>COUNTIF(M7:M16,"&gt;0")</f>
        <v/>
      </c>
      <c r="O18" s="47">
        <f>COUNTIF(O7:O16,"&gt;0")</f>
        <v/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9">
    <mergeCell ref="E5:E6"/>
    <mergeCell ref="Q5:Q6"/>
    <mergeCell ref="J5:K5"/>
    <mergeCell ref="F4:O4"/>
    <mergeCell ref="F5:G5"/>
    <mergeCell ref="L5:M5"/>
    <mergeCell ref="N5:O5"/>
    <mergeCell ref="A5:A6"/>
    <mergeCell ref="S5:S6"/>
    <mergeCell ref="U5:U6"/>
    <mergeCell ref="R4:U4"/>
    <mergeCell ref="B5:B6"/>
    <mergeCell ref="D5:D6"/>
    <mergeCell ref="P5:P6"/>
    <mergeCell ref="A4:E4"/>
    <mergeCell ref="R5:R6"/>
    <mergeCell ref="H5:I5"/>
    <mergeCell ref="T5:T6"/>
    <mergeCell ref="C5:C6"/>
  </mergeCells>
  <conditionalFormatting sqref="Q7:Q16">
    <cfRule type="colorScale" priority="2">
      <colorScale>
        <cfvo type="formula" val="3"/>
        <cfvo type="formula" val="6"/>
        <cfvo type="formula" val="10"/>
        <color rgb="FFF8CBAD"/>
        <color rgb="FFFFE699"/>
        <color rgb="FFA9D08E"/>
      </colorScale>
    </cfRule>
  </conditionalFormatting>
  <hyperlinks>
    <hyperlink xmlns:r="http://schemas.openxmlformats.org/officeDocument/2006/relationships" ref="D7" display="Sr. Infrastructure &amp; Cloud Spend Manager" r:id="rId1"/>
    <hyperlink xmlns:r="http://schemas.openxmlformats.org/officeDocument/2006/relationships" ref="T7" display="https://www.linkedin.com/in/david-call-5a704a1/" r:id="rId2"/>
    <hyperlink xmlns:r="http://schemas.openxmlformats.org/officeDocument/2006/relationships" ref="D8" display="Senior Director, Technology FinOps" r:id="rId3"/>
    <hyperlink xmlns:r="http://schemas.openxmlformats.org/officeDocument/2006/relationships" ref="D9" display="Senior FinOps Analyst" r:id="rId4"/>
    <hyperlink xmlns:r="http://schemas.openxmlformats.org/officeDocument/2006/relationships" ref="D10" display="FinOps Lead" r:id="rId5"/>
    <hyperlink xmlns:r="http://schemas.openxmlformats.org/officeDocument/2006/relationships" ref="D11" display="Cloud Financial Operations Specialist" r:id="rId6"/>
    <hyperlink xmlns:r="http://schemas.openxmlformats.org/officeDocument/2006/relationships" ref="D12" display="FinOps Specialist" r:id="rId7"/>
    <hyperlink xmlns:r="http://schemas.openxmlformats.org/officeDocument/2006/relationships" ref="T12" display="https://www.linkedin.com/in/sandeep-p-581ab64/&#10;https://www.linkedin.com/in/shanecredille/" r:id="rId8"/>
    <hyperlink xmlns:r="http://schemas.openxmlformats.org/officeDocument/2006/relationships" ref="D13" display="Cloud FinOps Analyst" r:id="rId9"/>
    <hyperlink xmlns:r="http://schemas.openxmlformats.org/officeDocument/2006/relationships" ref="D14" display="AVP, Cloud Economics Finance Partner" r:id="rId10"/>
    <hyperlink xmlns:r="http://schemas.openxmlformats.org/officeDocument/2006/relationships" ref="D15" display="Cloud FinOps Engineer" r:id="rId11"/>
    <hyperlink xmlns:r="http://schemas.openxmlformats.org/officeDocument/2006/relationships" ref="D16" display="FinOps Specialist" r:id="rId1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0" customWidth="1" style="25" min="1" max="1"/>
    <col width="8" customWidth="1" style="25" min="2" max="2"/>
    <col width="50" customWidth="1" style="25" min="3" max="4"/>
    <col width="8.710000000000001" customWidth="1" style="25" min="5" max="26"/>
  </cols>
  <sheetData>
    <row r="1" ht="17.35" customHeight="1" s="26">
      <c r="A1" s="27" t="inlineStr">
        <is>
          <t>Правила подсчёта баллов</t>
        </is>
      </c>
    </row>
    <row r="3" ht="15" customHeight="1" s="26">
      <c r="A3" s="29" t="inlineStr">
        <is>
          <t>Критерий</t>
        </is>
      </c>
      <c r="B3" s="29" t="inlineStr">
        <is>
          <t>Балл</t>
        </is>
      </c>
      <c r="C3" s="29" t="inlineStr">
        <is>
          <t>Когда ставим</t>
        </is>
      </c>
      <c r="D3" s="29" t="inlineStr">
        <is>
          <t>Почему это важно для Cloudaware</t>
        </is>
      </c>
    </row>
    <row r="4" ht="23.85" customHeight="1" s="26">
      <c r="A4" s="39" t="inlineStr">
        <is>
          <t>1. Облака (мультиоблако)</t>
        </is>
      </c>
      <c r="B4" s="37" t="n">
        <v>3</v>
      </c>
      <c r="C4" s="39" t="inlineStr">
        <is>
          <t>В вакансии названо больше одного облака (или облака + дата-центры)</t>
        </is>
      </c>
      <c r="D4" s="39" t="inlineStr">
        <is>
          <t>Главная сильная сторона Cloudaware — одна модель данных для всех облаков</t>
        </is>
      </c>
    </row>
    <row r="5" ht="23.85" customHeight="1" s="26">
      <c r="A5" s="39" t="inlineStr">
        <is>
          <t>2. Стадия FinOps</t>
        </is>
      </c>
      <c r="B5" s="37" t="n">
        <v>2</v>
      </c>
      <c r="C5" s="39" t="inlineStr">
        <is>
          <t>Практику создают с нуля или это первый специалист</t>
        </is>
      </c>
      <c r="D5" s="39" t="inlineStr">
        <is>
          <t>Инструмента, скорее всего, ещё нет — Cloudaware может стать им</t>
        </is>
      </c>
    </row>
    <row r="6" ht="23.85" customHeight="1" s="26">
      <c r="A6" s="39" t="inlineStr">
        <is>
          <t>3. Распределение затрат</t>
        </is>
      </c>
      <c r="B6" s="37" t="n">
        <v>2</v>
      </c>
      <c r="C6" s="39" t="inlineStr">
        <is>
          <t>Тегирование, showback/chargeback, разбивка по командам и продуктам</t>
        </is>
      </c>
      <c r="D6" s="39" t="inlineStr">
        <is>
          <t>Именно это решает связка CMDB + FinOps</t>
        </is>
      </c>
    </row>
    <row r="7" ht="23.85" customHeight="1" s="26">
      <c r="A7" s="39" t="inlineStr">
        <is>
          <t>4. Связь с CMDB</t>
        </is>
      </c>
      <c r="B7" s="37" t="n">
        <v>2</v>
      </c>
      <c r="C7" s="39" t="inlineStr">
        <is>
          <t>Затраты по приложениям, владельцам, окружениям; инвентаризация; дата-центры</t>
        </is>
      </c>
      <c r="D7" s="39" t="inlineStr">
        <is>
          <t>Ответ на вопрос «кто тратит» — то, чего нет у обычных FinOps-инструментов</t>
        </is>
      </c>
    </row>
    <row r="8" ht="23.85" customHeight="1" s="26">
      <c r="A8" s="39" t="inlineStr">
        <is>
          <t>5. Обязательства перед облаком</t>
        </is>
      </c>
      <c r="B8" s="37" t="n">
        <v>1</v>
      </c>
      <c r="C8" s="39" t="inlineStr">
        <is>
          <t>RI, Savings Plans, обязательства, покупки через AWS Marketplace</t>
        </is>
      </c>
      <c r="D8" s="39" t="inlineStr">
        <is>
          <t>Возможен разговор про оплату через маркетплейс (EDP/MACC)</t>
        </is>
      </c>
    </row>
    <row r="9" ht="23.85" customHeight="1" s="26">
      <c r="A9" s="39" t="inlineStr">
        <is>
          <t>Текущий инструмент</t>
        </is>
      </c>
      <c r="B9" s="37" t="inlineStr">
        <is>
          <t>—</t>
        </is>
      </c>
      <c r="C9" s="39" t="inlineStr">
        <is>
          <t>Не в баллах. Если назван конкурент (Flexera, Apptio, CloudHealth), компания уходит во второй эшелон</t>
        </is>
      </c>
      <c r="D9" s="39" t="inlineStr">
        <is>
          <t>Продать сложнее: нужен повод для замены</t>
        </is>
      </c>
    </row>
    <row r="11" ht="15" customHeight="1" s="26">
      <c r="A11" s="48" t="inlineStr">
        <is>
          <t>Максимум</t>
        </is>
      </c>
      <c r="B11" s="49">
        <f>SUM(B4:B8)</f>
        <v/>
      </c>
    </row>
    <row r="13" ht="15" customHeight="1" s="26">
      <c r="A13" s="50" t="inlineStr">
        <is>
          <t>Как пользоваться таблицей</t>
        </is>
      </c>
    </row>
    <row r="14" ht="30" customHeight="1" s="26">
      <c r="A14" s="51" t="inlineStr">
        <is>
          <t>• Синие цифры — баллы, их можно исправить, если при чтении вакансии под своим аккаунтом увидите больше деталей. Итог пересчитается сам.</t>
        </is>
      </c>
    </row>
    <row r="15" ht="30" customHeight="1" s="26">
      <c r="A15" s="51" t="inlineStr">
        <is>
          <t>• Размер компаний и облачный бюджет не проверялись. Для HealthEdge и Stride стоит отдельно убедиться, что бюджет достаточно большой для подписки.</t>
        </is>
      </c>
    </row>
    <row r="19" ht="15.75" customHeight="1" s="26"/>
    <row r="20" ht="15.75" customHeight="1" s="26"/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</sheetData>
  <mergeCells count="2">
    <mergeCell ref="A15:D15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25" min="1" max="1"/>
    <col width="34" customWidth="1" style="25" min="2" max="2"/>
    <col width="16" customWidth="1" style="25" min="3" max="3"/>
    <col width="44" customWidth="1" style="25" min="4" max="4"/>
    <col width="36" customWidth="1" style="25" min="5" max="5"/>
    <col width="8.710000000000001" customWidth="1" style="25" min="6" max="26"/>
  </cols>
  <sheetData>
    <row r="1" ht="17.35" customHeight="1" s="26">
      <c r="A1" s="27" t="inlineStr">
        <is>
          <t>Второй эшелон: подходят, но с оговорками</t>
        </is>
      </c>
    </row>
    <row r="3" ht="15" customHeight="1" s="26">
      <c r="A3" s="29" t="inlineStr">
        <is>
          <t>Компания</t>
        </is>
      </c>
      <c r="B3" s="29" t="inlineStr">
        <is>
          <t>Вакансия</t>
        </is>
      </c>
      <c r="C3" s="29" t="inlineStr">
        <is>
          <t>Опубликована</t>
        </is>
      </c>
      <c r="D3" s="29" t="inlineStr">
        <is>
          <t>Что подходит</t>
        </is>
      </c>
      <c r="E3" s="29" t="inlineStr">
        <is>
          <t>Почему ниже приоритет</t>
        </is>
      </c>
    </row>
    <row r="4" ht="23.85" customHeight="1" s="26">
      <c r="A4" s="38" t="inlineStr">
        <is>
          <t>Velera</t>
        </is>
      </c>
      <c r="B4" s="40" t="inlineStr">
        <is>
          <t>FinOps Lead - Cloud</t>
        </is>
      </c>
      <c r="C4" s="39" t="inlineStr">
        <is>
          <t>23.09.2026 (2 дня)</t>
        </is>
      </c>
      <c r="D4" s="39" t="inlineStr">
        <is>
          <t>Мультиоблако, создают FinOps Center of Excellence, подчинение VP Platform Engineering</t>
        </is>
      </c>
      <c r="E4" s="39" t="inlineStr">
        <is>
          <t>Уже используют Flexera One — конкурента</t>
        </is>
      </c>
    </row>
    <row r="5" ht="23.85" customHeight="1" s="26">
      <c r="A5" s="38" t="inlineStr">
        <is>
          <t>HUB International</t>
        </is>
      </c>
      <c r="B5" s="40" t="inlineStr">
        <is>
          <t>Senior Manager, TBM Platform &amp; Cloud FinOps</t>
        </is>
      </c>
      <c r="C5" s="39" t="inlineStr">
        <is>
          <t>22.09.2026 (3 дня)</t>
        </is>
      </c>
      <c r="D5" s="39" t="inlineStr">
        <is>
          <t>Крупная компания (~20 000 сотрудников), растёт через поглощения</t>
        </is>
      </c>
      <c r="E5" s="39" t="inlineStr">
        <is>
          <t>Уже используют Apptio</t>
        </is>
      </c>
    </row>
    <row r="6" ht="23.85" customHeight="1" s="26">
      <c r="A6" s="38" t="inlineStr">
        <is>
          <t>FanDuel</t>
        </is>
      </c>
      <c r="B6" s="40" t="inlineStr">
        <is>
          <t>Senior FinOps Engineer</t>
        </is>
      </c>
      <c r="C6" s="39" t="inlineStr">
        <is>
          <t>18.09.2026 (1 нед.)</t>
        </is>
      </c>
      <c r="D6" s="39" t="inlineStr">
        <is>
          <t>Отвечает за инструменты управления облачными затратами</t>
        </is>
      </c>
      <c r="E6" s="39" t="inlineStr">
        <is>
          <t>Только AWS и Datadog — одно облако</t>
        </is>
      </c>
    </row>
    <row r="7" ht="23.85" customHeight="1" s="26">
      <c r="A7" s="38" t="inlineStr">
        <is>
          <t>VF Corporation</t>
        </is>
      </c>
      <c r="B7" s="40" t="inlineStr">
        <is>
          <t>Cloud FinOps Analyst</t>
        </is>
      </c>
      <c r="C7" s="39" t="inlineStr">
        <is>
          <t>23.09.2026 (2 дня)</t>
        </is>
      </c>
      <c r="D7" s="39" t="inlineStr">
        <is>
          <t>Команда Cloud Governance, политики и контроль затрат</t>
        </is>
      </c>
      <c r="E7" s="39" t="inlineStr">
        <is>
          <t>Текст вакансии общий, сигналов мало</t>
        </is>
      </c>
    </row>
    <row r="9" ht="30" customHeight="1" s="26">
      <c r="A9" s="52" t="inlineStr">
        <is>
          <t>Исключены сразу: консалтинг и интеграторы (Deloitte, Accenture, Cognizant, Alvarez &amp; Marsal, TCS, WWT, AHEAD, Synechron), господрядчики (SAIC, Peraton, Booz Allen, MetroStar), кадровые агентства, AI-лаборатории, ServiceNow (конкурент).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9:E9"/>
  </mergeCells>
  <hyperlinks>
    <hyperlink xmlns:r="http://schemas.openxmlformats.org/officeDocument/2006/relationships" ref="B4" display="FinOps Lead - Cloud" r:id="rId1"/>
    <hyperlink xmlns:r="http://schemas.openxmlformats.org/officeDocument/2006/relationships" ref="B5" display="Senior Manager, TBM Platform &amp; Cloud FinOps" r:id="rId2"/>
    <hyperlink xmlns:r="http://schemas.openxmlformats.org/officeDocument/2006/relationships" ref="B6" display="Senior FinOps Engineer" r:id="rId3"/>
    <hyperlink xmlns:r="http://schemas.openxmlformats.org/officeDocument/2006/relationships" ref="B7" display="Cloud FinOps Analyst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2026-09-25T14:49:42Z</dcterms:created>
  <dcterms:modified xsi:type="dcterms:W3CDTF">2026-10-02T14:34:21Z</dcterms:modified>
  <cp:revision>0</cp:revision>
</cp:coreProperties>
</file>